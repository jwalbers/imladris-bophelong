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jalbers/git/Fastpilot/imladris-bophelong/modalities/"/>
    </mc:Choice>
  </mc:AlternateContent>
  <xr:revisionPtr revIDLastSave="0" documentId="8_{D775D6CD-19B2-6543-AA54-DBF0DD93F683}" xr6:coauthVersionLast="47" xr6:coauthVersionMax="47" xr10:uidLastSave="{00000000-0000-0000-0000-000000000000}"/>
  <bookViews>
    <workbookView xWindow="0" yWindow="660" windowWidth="28920" windowHeight="17600" activeTab="3" xr2:uid="{888F0170-BB40-8D40-9F53-2359024C807A}"/>
    <workbookView xWindow="0" yWindow="6740" windowWidth="43220" windowHeight="15600" xr2:uid="{20990F09-2A54-3942-BE0C-929168C0E362}"/>
  </bookViews>
  <sheets>
    <sheet name="README" sheetId="4" r:id="rId1"/>
    <sheet name="Landscape" sheetId="2" r:id="rId2"/>
    <sheet name="UpKeep Details" sheetId="3" r:id="rId3"/>
    <sheet name="Issues" sheetId="7" r:id="rId4"/>
    <sheet name="Scratch" sheetId="6" r:id="rId5"/>
  </sheets>
  <definedNames>
    <definedName name="_xlnm._FilterDatabase" localSheetId="1" hidden="1">Landscape!$A$1:$V$1</definedName>
    <definedName name="_xlnm._FilterDatabase" localSheetId="2" hidden="1">'UpKeep Details'!$C$1:$AD$36</definedName>
    <definedName name="EntityList">README!#REF!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5" i="2" l="1"/>
  <c r="H25" i="2"/>
  <c r="H21" i="2"/>
  <c r="H40" i="2"/>
  <c r="H39" i="2"/>
  <c r="H38" i="2"/>
  <c r="H37" i="2"/>
  <c r="H36" i="2"/>
  <c r="H34" i="2"/>
  <c r="H33" i="2"/>
  <c r="H32" i="2"/>
  <c r="H31" i="2"/>
  <c r="H30" i="2"/>
  <c r="H29" i="2"/>
  <c r="H28" i="2"/>
  <c r="H27" i="2"/>
  <c r="H26" i="2"/>
  <c r="H24" i="2"/>
  <c r="H23" i="2"/>
  <c r="H22" i="2"/>
  <c r="H20" i="2"/>
  <c r="H19" i="2"/>
  <c r="H18" i="2"/>
  <c r="H17" i="2"/>
  <c r="H16" i="2"/>
  <c r="H15" i="2"/>
  <c r="H14" i="2"/>
  <c r="H13" i="2"/>
  <c r="H12" i="2"/>
  <c r="H11" i="2"/>
  <c r="H10" i="2"/>
  <c r="H9" i="2"/>
  <c r="H8" i="2"/>
  <c r="H7" i="2"/>
  <c r="H6" i="2"/>
  <c r="H5" i="2"/>
  <c r="H4" i="2"/>
  <c r="B20" i="3"/>
  <c r="F20" i="3" s="1"/>
  <c r="B2" i="3" l="1"/>
  <c r="F2" i="3" s="1"/>
  <c r="B22" i="3"/>
  <c r="F22" i="3" s="1"/>
  <c r="B26" i="3"/>
  <c r="F26" i="3" s="1"/>
  <c r="B3" i="3"/>
  <c r="F3" i="3" s="1"/>
  <c r="B31" i="3"/>
  <c r="F31" i="3" s="1"/>
  <c r="B29" i="3"/>
  <c r="F29" i="3" s="1"/>
  <c r="B21" i="3"/>
  <c r="F21" i="3" s="1"/>
  <c r="B23" i="3"/>
  <c r="F23" i="3" s="1"/>
  <c r="B35" i="3"/>
  <c r="F35" i="3" s="1"/>
  <c r="B12" i="3"/>
  <c r="F12" i="3" s="1"/>
  <c r="B18" i="3"/>
  <c r="F18" i="3" s="1"/>
  <c r="B4" i="3"/>
  <c r="F4" i="3" s="1"/>
  <c r="B24" i="3"/>
  <c r="F24" i="3" s="1"/>
  <c r="B33" i="3"/>
  <c r="F33" i="3" s="1"/>
  <c r="B36" i="3"/>
  <c r="F36" i="3" s="1"/>
  <c r="B5" i="3"/>
  <c r="F5" i="3" s="1"/>
  <c r="B15" i="3"/>
  <c r="F15" i="3" s="1"/>
  <c r="B8" i="3"/>
  <c r="F8" i="3" s="1"/>
  <c r="B32" i="3"/>
  <c r="F32" i="3" s="1"/>
  <c r="B13" i="3"/>
  <c r="F13" i="3" s="1"/>
  <c r="B10" i="3"/>
  <c r="F10" i="3" s="1"/>
  <c r="B6" i="3"/>
  <c r="F6" i="3" s="1"/>
  <c r="B34" i="3"/>
  <c r="F34" i="3" s="1"/>
  <c r="B14" i="3"/>
  <c r="F14" i="3" s="1"/>
  <c r="B9" i="3"/>
  <c r="F9" i="3" s="1"/>
  <c r="B11" i="3"/>
  <c r="F11" i="3" s="1"/>
  <c r="B7" i="3"/>
  <c r="F7" i="3" s="1"/>
  <c r="B17" i="3"/>
  <c r="F17" i="3" s="1"/>
  <c r="B25" i="3"/>
  <c r="F25" i="3" s="1"/>
  <c r="B19" i="3"/>
  <c r="F19" i="3" s="1"/>
  <c r="B28" i="3"/>
  <c r="F28" i="3" s="1"/>
  <c r="B30" i="3"/>
  <c r="F30" i="3" s="1"/>
  <c r="B16" i="3"/>
  <c r="F16" i="3" s="1"/>
  <c r="B27" i="3"/>
  <c r="F27" i="3" s="1"/>
</calcChain>
</file>

<file path=xl/sharedStrings.xml><?xml version="1.0" encoding="utf-8"?>
<sst xmlns="http://schemas.openxmlformats.org/spreadsheetml/2006/main" count="800" uniqueCount="298">
  <si>
    <t>Botsabelo </t>
  </si>
  <si>
    <t>Mobile X-Ray  </t>
  </si>
  <si>
    <t>Lamina Plus -MUX-100H </t>
  </si>
  <si>
    <t>1 </t>
  </si>
  <si>
    <t>N </t>
  </si>
  <si>
    <r>
      <t>Y (Software license expired)</t>
    </r>
    <r>
      <rPr>
        <sz val="11"/>
        <color rgb="FF2E74B5"/>
        <rFont val="Calibri"/>
        <family val="2"/>
      </rPr>
      <t> </t>
    </r>
  </si>
  <si>
    <r>
      <t>N/A (not digital)</t>
    </r>
    <r>
      <rPr>
        <sz val="11"/>
        <color rgb="FF2E74B5"/>
        <rFont val="Calibri"/>
        <family val="2"/>
      </rPr>
      <t> </t>
    </r>
  </si>
  <si>
    <t>Portable X-ray  </t>
  </si>
  <si>
    <t>Sedecal - TXLW8 </t>
  </si>
  <si>
    <r>
      <t>1</t>
    </r>
    <r>
      <rPr>
        <sz val="11"/>
        <color rgb="FF2E74B5"/>
        <rFont val="Calibri"/>
        <family val="2"/>
      </rPr>
      <t> </t>
    </r>
  </si>
  <si>
    <r>
      <t>Y</t>
    </r>
    <r>
      <rPr>
        <sz val="11"/>
        <color rgb="FF2E74B5"/>
        <rFont val="Calibri"/>
        <family val="2"/>
      </rPr>
      <t> </t>
    </r>
  </si>
  <si>
    <r>
      <t>assessed after PACS vendor selection</t>
    </r>
    <r>
      <rPr>
        <sz val="11"/>
        <color rgb="FF2E74B5"/>
        <rFont val="Calibri"/>
        <family val="2"/>
      </rPr>
      <t> </t>
    </r>
  </si>
  <si>
    <t>Fixed X-ray Room (table and wall stand) </t>
  </si>
  <si>
    <t>Sedecal X-Ray Machine - RAD Console - Sedecal - G - 83780 </t>
  </si>
  <si>
    <t>Ultrasound  </t>
  </si>
  <si>
    <t>Butterfly Network, Inc - iQ+ </t>
  </si>
  <si>
    <t>Fujifilm Sonosite - M Turbo </t>
  </si>
  <si>
    <t>5 High volume health facilities in Mohales Hoek </t>
  </si>
  <si>
    <t>Portable x-ray </t>
  </si>
  <si>
    <t>MinXray Impact </t>
  </si>
  <si>
    <t>(incoming – not received yet) </t>
  </si>
  <si>
    <t>5 </t>
  </si>
  <si>
    <t>5 Rural Initiative sites </t>
  </si>
  <si>
    <t>7 </t>
  </si>
  <si>
    <t>Ntsekhe Hospital </t>
  </si>
  <si>
    <t>2 </t>
  </si>
  <si>
    <t>Tihanyaku Clinic </t>
  </si>
  <si>
    <t>Ultrasound </t>
  </si>
  <si>
    <t>Sonosite Titan P04107-02R </t>
  </si>
  <si>
    <r>
      <t>assessed after PACS vendor selection</t>
    </r>
    <r>
      <rPr>
        <sz val="11"/>
        <color rgb="FF2E74B5"/>
        <rFont val="Calibri"/>
        <family val="2"/>
      </rPr>
      <t> </t>
    </r>
  </si>
  <si>
    <t>Portable X-ray </t>
  </si>
  <si>
    <t>Fujifilm FDR Xair XD2000 PX </t>
  </si>
  <si>
    <t>Mobile X-Ray (Analog) </t>
  </si>
  <si>
    <t>Siemens 5510 </t>
  </si>
  <si>
    <r>
      <t>N</t>
    </r>
    <r>
      <rPr>
        <sz val="11"/>
        <color rgb="FF2E74B5"/>
        <rFont val="Calibri"/>
        <family val="2"/>
      </rPr>
      <t> </t>
    </r>
  </si>
  <si>
    <t>Nohana Clinic </t>
  </si>
  <si>
    <t>MinXray CMDR.T.120.60.S </t>
  </si>
  <si>
    <t>Fujifilm Sonosite M-Turbo </t>
  </si>
  <si>
    <t>Nkau Clinic </t>
  </si>
  <si>
    <t>Butterfly iQ3 </t>
  </si>
  <si>
    <t>Portable X-Ray </t>
  </si>
  <si>
    <t>MinXray MXRSLW </t>
  </si>
  <si>
    <t>Mohale’s Hoek </t>
  </si>
  <si>
    <t>Mobile X-ray </t>
  </si>
  <si>
    <t>OR Technology PXM-20BT Plus with iRay Detector </t>
  </si>
  <si>
    <r>
      <t>assessed after PACS vendor selection</t>
    </r>
    <r>
      <rPr>
        <sz val="11"/>
        <color rgb="FF2E74B5"/>
        <rFont val="Calibri"/>
        <family val="2"/>
      </rPr>
      <t> </t>
    </r>
  </si>
  <si>
    <t>Methalaneng Clinic </t>
  </si>
  <si>
    <t>Butterfly iQ+ </t>
  </si>
  <si>
    <t>Sonosite  Titan P04107-02R </t>
  </si>
  <si>
    <t>MinXray TR90BH with CareView detector </t>
  </si>
  <si>
    <t>Siemens 08633864 </t>
  </si>
  <si>
    <t>Manemaneng Clinic </t>
  </si>
  <si>
    <t>Portable X-Ray  </t>
  </si>
  <si>
    <t>MinXray TR90BH with detector </t>
  </si>
  <si>
    <t>Siemens 8620002 </t>
  </si>
  <si>
    <t>Lebakeng Clinic </t>
  </si>
  <si>
    <t>Fujifilm Sonosite M-turbo </t>
  </si>
  <si>
    <t>Fujifilm FDR Xair with FDR D-EVO II detector </t>
  </si>
  <si>
    <t>Mobile X-ray (Analog) </t>
  </si>
  <si>
    <t>Siemens 5510-IEC 60601-2-7 : 1998 </t>
  </si>
  <si>
    <t>Bobete Clinic </t>
  </si>
  <si>
    <t>MinXray CMDR.T.120.60.S with detector </t>
  </si>
  <si>
    <t>Mobile X-Ray (Analog) </t>
  </si>
  <si>
    <t>Fujifilm Sonosite P04107-02R </t>
  </si>
  <si>
    <t>Model</t>
  </si>
  <si>
    <t>Options</t>
  </si>
  <si>
    <t>Lesotho Biomed</t>
  </si>
  <si>
    <t>X-Ray Machine</t>
  </si>
  <si>
    <t>TR90BH</t>
  </si>
  <si>
    <t>available</t>
  </si>
  <si>
    <t>Lesotho - Methalaneng Clinic</t>
  </si>
  <si>
    <t>LS - BBC - Maternal and Child Health</t>
  </si>
  <si>
    <t>Butterfly Ultrasound - Butterfly Network - iQ+</t>
  </si>
  <si>
    <t>iQ+</t>
  </si>
  <si>
    <t>BT21140486</t>
  </si>
  <si>
    <t>BBC00002B</t>
  </si>
  <si>
    <t>Ultrasound Machine - Fujifilm Sonosite Inc - P04107-02R</t>
  </si>
  <si>
    <t>P04107-02R</t>
  </si>
  <si>
    <t>032D7V</t>
  </si>
  <si>
    <t>Ultrasound</t>
  </si>
  <si>
    <t>P04969-01A</t>
  </si>
  <si>
    <t>LS - BBC - X-ray</t>
  </si>
  <si>
    <t>BBC00018B</t>
  </si>
  <si>
    <t>X-Ray Portable Digital Radiography System - MINXRAY - CMDR.T.120.60.S</t>
  </si>
  <si>
    <t>CMDR.T.120.60.S</t>
  </si>
  <si>
    <t>CMK2105</t>
  </si>
  <si>
    <t>Portable X-ray</t>
  </si>
  <si>
    <t>LS - BH - ICU</t>
  </si>
  <si>
    <t>Ultrasound - Butterfly Network, Inc - iQ+</t>
  </si>
  <si>
    <t>LS - BH - X-ray</t>
  </si>
  <si>
    <t>Ultrasound - Fujifilm Sonosite - M Turbo</t>
  </si>
  <si>
    <t>M-Turbo</t>
  </si>
  <si>
    <t>03R92L</t>
  </si>
  <si>
    <t>LS - MLC - Maternal and Child Health</t>
  </si>
  <si>
    <t>BT21130623</t>
  </si>
  <si>
    <t>MLC00022B</t>
  </si>
  <si>
    <t>Ultrasound Machine - Transducer - Sonosite - P04969-01A</t>
  </si>
  <si>
    <t>0388R5</t>
  </si>
  <si>
    <t>MLC00008B</t>
  </si>
  <si>
    <t>Ultrasound Machine - Titan - P04107-02R</t>
  </si>
  <si>
    <t>not-available</t>
  </si>
  <si>
    <t>LS - MLC - X-ray</t>
  </si>
  <si>
    <t>Portable X-Ray Machine - MinXRay - TR90BH</t>
  </si>
  <si>
    <t>LS - MMC - Maternal and  Child health</t>
  </si>
  <si>
    <t>Ultrasound - Butterfly - IQ+</t>
  </si>
  <si>
    <t>RA 100 05 0001</t>
  </si>
  <si>
    <t>Butterfly Ultrasound - Butterfly Network - iQ3</t>
  </si>
  <si>
    <t>iQ3</t>
  </si>
  <si>
    <t>LS - MMC - X-Ray Department</t>
  </si>
  <si>
    <t>LS - NKC - Maternal and Child Health</t>
  </si>
  <si>
    <t>NK 100 05 0001</t>
  </si>
  <si>
    <t>NKC00021B</t>
  </si>
  <si>
    <t>Ultrasound Machine - Fujifilm Sonosite - M-turbo</t>
  </si>
  <si>
    <t>P08189-91R</t>
  </si>
  <si>
    <t>WK0VN1</t>
  </si>
  <si>
    <t>LS - NKC - X-ray</t>
  </si>
  <si>
    <t>X-Ray Machine-MinXray</t>
  </si>
  <si>
    <t>MXRSLW</t>
  </si>
  <si>
    <t>X - Ray Department</t>
  </si>
  <si>
    <t>Butterfly Ultrasound - Butterly Network - iQ3</t>
  </si>
  <si>
    <t>Diagnostic X-Ray Unit - OR Technology - (PXM-20BT Plus)</t>
  </si>
  <si>
    <t>PXM-20BT Plus</t>
  </si>
  <si>
    <t>NPTH20BP-2306-008</t>
  </si>
  <si>
    <t>Mobile X-Ray Clinic 2 - LSMOHLC004</t>
  </si>
  <si>
    <t>UpKeep Site</t>
  </si>
  <si>
    <t>Location Name</t>
  </si>
  <si>
    <t>Asset Tag (UpKeep)</t>
  </si>
  <si>
    <t>Asset Name (UpKeep)</t>
  </si>
  <si>
    <t>Model (UpKeep)</t>
  </si>
  <si>
    <t>OpenBoxes Code (UpKeep)</t>
  </si>
  <si>
    <t>Serial Number (UpKeep)</t>
  </si>
  <si>
    <t>Category</t>
  </si>
  <si>
    <t>Downtime Status</t>
  </si>
  <si>
    <t>Purchase Date</t>
  </si>
  <si>
    <t>Placed In Service Date</t>
  </si>
  <si>
    <t>Most Recent Work Order Completed Date</t>
  </si>
  <si>
    <t>Warranty Expiration</t>
  </si>
  <si>
    <t>Parent Asset Tag</t>
  </si>
  <si>
    <t>Parent Asset Name</t>
  </si>
  <si>
    <t>Parent Asset Downtime Status</t>
  </si>
  <si>
    <t>Parent Asset OB Code</t>
  </si>
  <si>
    <t>Bobete Clinic</t>
  </si>
  <si>
    <t>Parent Location</t>
  </si>
  <si>
    <t>Parent Abbrev</t>
  </si>
  <si>
    <t>Manemaneng Clinic</t>
  </si>
  <si>
    <t>Methalaneng Clinic</t>
  </si>
  <si>
    <t>Nkau Clinic</t>
  </si>
  <si>
    <t>Mohales Hoek (TB Elimination)</t>
  </si>
  <si>
    <t>BBC</t>
  </si>
  <si>
    <t>BH</t>
  </si>
  <si>
    <t>MLC</t>
  </si>
  <si>
    <t>MMC</t>
  </si>
  <si>
    <t>NKC</t>
  </si>
  <si>
    <t>Botsabelo MDR-TB Hospital</t>
  </si>
  <si>
    <t>Site Location</t>
  </si>
  <si>
    <t>Maternal and Child Health</t>
  </si>
  <si>
    <t>X-ray</t>
  </si>
  <si>
    <t>ICU</t>
  </si>
  <si>
    <t>MH</t>
  </si>
  <si>
    <t>MHC</t>
  </si>
  <si>
    <t>Normalized Location Name</t>
  </si>
  <si>
    <t>Modality ID</t>
  </si>
  <si>
    <t>Note</t>
  </si>
  <si>
    <t>Upkeep Location Name</t>
  </si>
  <si>
    <t>Manufacturer</t>
  </si>
  <si>
    <t>Butterfly Network</t>
  </si>
  <si>
    <t>OR Technology</t>
  </si>
  <si>
    <t>Fujifilm</t>
  </si>
  <si>
    <t>MinXray</t>
  </si>
  <si>
    <t>Asset Tag</t>
  </si>
  <si>
    <t>LS - TNC - Maternal and Child Health</t>
  </si>
  <si>
    <t>TNC00012B</t>
  </si>
  <si>
    <t>Ultrasound Machine - Sonosite TITAN - P04107-02R</t>
  </si>
  <si>
    <t>Titan</t>
  </si>
  <si>
    <t>031XRH</t>
  </si>
  <si>
    <t>LS - TNC - X-ray</t>
  </si>
  <si>
    <t>X-Ray Machine - Siemens - 5510</t>
  </si>
  <si>
    <t>32831</t>
  </si>
  <si>
    <t>Tihanyaku Clinic</t>
  </si>
  <si>
    <t>TNC</t>
  </si>
  <si>
    <t>duplicate?  UpKeep shows only one ultrasound for this clinic.</t>
  </si>
  <si>
    <t>Siemans</t>
  </si>
  <si>
    <t>Siemens</t>
  </si>
  <si>
    <t>TNC00013B</t>
  </si>
  <si>
    <t>Portable X-Ray Unit FDR Xair - Fujifilm Corp. - XD2000 PX</t>
  </si>
  <si>
    <t>XD2000 PX</t>
  </si>
  <si>
    <t>XDRH-6216</t>
  </si>
  <si>
    <t>BH00058B</t>
  </si>
  <si>
    <t>Portable X-ray - Sedecal - TXLW8</t>
  </si>
  <si>
    <t>TXLW8</t>
  </si>
  <si>
    <t>PKL12432</t>
  </si>
  <si>
    <t>BH00059B</t>
  </si>
  <si>
    <t>Sedecal X - Ray Machine</t>
  </si>
  <si>
    <t>Radiographic System Sedecal X</t>
  </si>
  <si>
    <t>BR10220</t>
  </si>
  <si>
    <t>BBC00017B</t>
  </si>
  <si>
    <t>X-Ray Mobile Equipment - Siemens - 5510</t>
  </si>
  <si>
    <t>32345</t>
  </si>
  <si>
    <t>NOTAG0004</t>
  </si>
  <si>
    <t>NOTAG0001</t>
  </si>
  <si>
    <t>NOTAG0003</t>
  </si>
  <si>
    <t>NOTAG0002</t>
  </si>
  <si>
    <t>(21)BT21130623</t>
  </si>
  <si>
    <t>LS - LKC - Maternal and Child Health</t>
  </si>
  <si>
    <t>LKC00019B</t>
  </si>
  <si>
    <t>03NHXN</t>
  </si>
  <si>
    <t>Fujifilm Sonosite</t>
  </si>
  <si>
    <t>LKC</t>
  </si>
  <si>
    <t>24190422</t>
  </si>
  <si>
    <t>LS - LKC - X-ray</t>
  </si>
  <si>
    <t>LKC00008B</t>
  </si>
  <si>
    <t>Portable X-Ray Unit FDR Xair - Fujifilm Corp - XD2000 PX</t>
  </si>
  <si>
    <t>XDRH-6213</t>
  </si>
  <si>
    <t>Fujifilm Healthcare</t>
  </si>
  <si>
    <t>LK100050001</t>
  </si>
  <si>
    <t>NOTAG0005</t>
  </si>
  <si>
    <t>NOTAG0006</t>
  </si>
  <si>
    <t>NOTAG0007</t>
  </si>
  <si>
    <t>NOTAG0008</t>
  </si>
  <si>
    <t>NOTAG0009</t>
  </si>
  <si>
    <t>LKC00009B</t>
  </si>
  <si>
    <t>AERB/XT/02A/09</t>
  </si>
  <si>
    <t>NOTAG0010</t>
  </si>
  <si>
    <t>BH00060B</t>
  </si>
  <si>
    <t>Mobile X-Ray - Lamina Plus -MUX-100H</t>
  </si>
  <si>
    <t>MUX-100H</t>
  </si>
  <si>
    <t>503-48500-12</t>
  </si>
  <si>
    <t>Shimadzu</t>
  </si>
  <si>
    <t>Model number should be</t>
  </si>
  <si>
    <t>Siemens 5510</t>
  </si>
  <si>
    <t>Mobile X-Ray machine</t>
  </si>
  <si>
    <t>AERB/02A/574</t>
  </si>
  <si>
    <t>Notes</t>
  </si>
  <si>
    <t>5853269117</t>
  </si>
  <si>
    <t>Duplicate 46617 in redundant location Lesotho - Manemaneng Clinic</t>
  </si>
  <si>
    <t>LS - NHC - X-ray</t>
  </si>
  <si>
    <t>NHC00011B</t>
  </si>
  <si>
    <t>CMK2104</t>
  </si>
  <si>
    <t>NHC00009B</t>
  </si>
  <si>
    <t>X-Ray Machine - MINXRAY</t>
  </si>
  <si>
    <t>CMDR.T.120.60S</t>
  </si>
  <si>
    <t>CMK2106</t>
  </si>
  <si>
    <t>NHC</t>
  </si>
  <si>
    <t>Nohana Clinic</t>
  </si>
  <si>
    <t>LS - NHC - Maternal and Child Health</t>
  </si>
  <si>
    <t>NHC00005B</t>
  </si>
  <si>
    <t>03X570</t>
  </si>
  <si>
    <t>NHC00010B</t>
  </si>
  <si>
    <t>32344</t>
  </si>
  <si>
    <t>Same unit as in MLC?  Moved?</t>
  </si>
  <si>
    <t>What does 08633864 mean?</t>
  </si>
  <si>
    <t>Should probably be P04969-01A?  There is a P04107-02R at LS-BBC-Maternal.</t>
  </si>
  <si>
    <t>Only 1 in UpKeep..</t>
  </si>
  <si>
    <t>NKC00030B</t>
  </si>
  <si>
    <t>X-Ray Machine - Siemens - 8620002</t>
  </si>
  <si>
    <t>32343</t>
  </si>
  <si>
    <t>BT21140B12</t>
  </si>
  <si>
    <t>LS - MMC - Maternal and Child Health</t>
  </si>
  <si>
    <t>Normalized Serial</t>
  </si>
  <si>
    <t>two spaces between "and" and "Child"</t>
  </si>
  <si>
    <t>Inconsistent</t>
  </si>
  <si>
    <t>"health" should be upper case</t>
  </si>
  <si>
    <t>Vendor Serial</t>
  </si>
  <si>
    <t>Column2</t>
  </si>
  <si>
    <t>Location Note</t>
  </si>
  <si>
    <t>Same unit as in MHC? Moved?</t>
  </si>
  <si>
    <t>Landscape Index</t>
  </si>
  <si>
    <t>1 of 2</t>
  </si>
  <si>
    <t>2 of 2</t>
  </si>
  <si>
    <t>uk0001</t>
  </si>
  <si>
    <t>Don't roll asset properties into Asset Name.  Opportunity for inconsistency here.  Create a short asset name, and if we want a long asset name with appended properties, make that a calculated property.</t>
  </si>
  <si>
    <t>usability</t>
  </si>
  <si>
    <t>uk0002</t>
  </si>
  <si>
    <t>correctness</t>
  </si>
  <si>
    <t>Identify correct serial number patterns and validate serial numbers accordingly.  May have several patterns per vendor.   Removes opportunity to add same unit as two separate units.</t>
  </si>
  <si>
    <r>
      <t>Modality location</t>
    </r>
    <r>
      <rPr>
        <sz val="11"/>
        <color theme="0"/>
        <rFont val="Calibri"/>
        <family val="2"/>
      </rPr>
      <t> </t>
    </r>
  </si>
  <si>
    <r>
      <t>Modality type</t>
    </r>
    <r>
      <rPr>
        <sz val="11"/>
        <color theme="0"/>
        <rFont val="Calibri"/>
        <family val="2"/>
      </rPr>
      <t> </t>
    </r>
  </si>
  <si>
    <r>
      <t>Model number</t>
    </r>
    <r>
      <rPr>
        <sz val="11"/>
        <color theme="0"/>
        <rFont val="Calibri"/>
        <family val="2"/>
      </rPr>
      <t> </t>
    </r>
  </si>
  <si>
    <r>
      <t>Quantity</t>
    </r>
    <r>
      <rPr>
        <sz val="11"/>
        <color theme="0"/>
        <rFont val="Calibri"/>
        <family val="2"/>
      </rPr>
      <t> </t>
    </r>
  </si>
  <si>
    <r>
      <t>Digital (Y/N)</t>
    </r>
    <r>
      <rPr>
        <sz val="11"/>
        <color theme="0"/>
        <rFont val="Calibri"/>
        <family val="2"/>
      </rPr>
      <t> </t>
    </r>
  </si>
  <si>
    <r>
      <t>Operational (Y/N)</t>
    </r>
    <r>
      <rPr>
        <sz val="11"/>
        <color theme="0"/>
        <rFont val="Calibri"/>
        <family val="2"/>
      </rPr>
      <t> </t>
    </r>
  </si>
  <si>
    <r>
      <t>DICOM License (Y/N)</t>
    </r>
    <r>
      <rPr>
        <sz val="11"/>
        <color theme="0"/>
        <rFont val="Calibri"/>
        <family val="2"/>
      </rPr>
      <t> </t>
    </r>
  </si>
  <si>
    <t>Is this the console for BH000558B or an actual modality?</t>
  </si>
  <si>
    <t>uk0003</t>
  </si>
  <si>
    <t>Some paste errors in the Asset Name, e.g. this Siemens unit has a safety standard reference text string appended.</t>
  </si>
  <si>
    <t>This spreadsheet extends the modality information in the document:</t>
  </si>
  <si>
    <t>PIH-Lesotho PACS Landscape Assessment (with final comments).docx</t>
  </si>
  <si>
    <t>The modality table in that document is reproduced here on the "Landscape" tab.</t>
  </si>
  <si>
    <t>There is one row per modality, so for original rows with "Quantity = 2" there are now two rows with the same original row/index number but under quantity there is "1 of  2" and "2 of 2"</t>
  </si>
  <si>
    <t xml:space="preserve">The UpKeep details tab has the info for each modality available in the PowerBI report here: </t>
  </si>
  <si>
    <t>Lesotho PowerBI Asset Inventory</t>
  </si>
  <si>
    <t>The purpose of this document is to eventually link to all technical reference information needed to support integration of the systems referenced in the Landscape document.</t>
  </si>
  <si>
    <t>Rather than cutting and pasting UpKeep info into the Landscape table, this spreadsheet uses asset tags as keys to pull the UpKeep info from the UpKeep tab.   Where there is no assigned UpKeep asset tag, I have created an arbitrary, unique, "NOTAGnnnn" tag.</t>
  </si>
  <si>
    <t>Tab</t>
  </si>
  <si>
    <t>Landscape</t>
  </si>
  <si>
    <t>UpKeepDetails</t>
  </si>
  <si>
    <t>Issues</t>
  </si>
  <si>
    <t>This page captures issues noted in trying to correlate Landscape info with UpKeep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</si>
</sst>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2"/>
      <color rgb="FF9C0006"/>
      <name val="Aptos Narrow"/>
      <family val="2"/>
      <scheme val="minor"/>
    </font>
    <font>
      <sz val="12"/>
      <color rgb="FF9C5700"/>
      <name val="Aptos Narrow"/>
      <family val="2"/>
      <scheme val="minor"/>
    </font>
    <font>
      <sz val="11"/>
      <color theme="1"/>
      <name val="Aptos Narrow"/>
      <scheme val="minor"/>
    </font>
    <font>
      <u/>
      <sz val="12"/>
      <color theme="10"/>
      <name val="Aptos Narrow"/>
      <family val="2"/>
      <scheme val="minor"/>
    </font>
    <font>
      <sz val="11"/>
      <color rgb="FF0070C0"/>
      <name val="Calibri"/>
      <family val="2"/>
    </font>
    <font>
      <sz val="11"/>
      <color rgb="FF2E74B5"/>
      <name val="Calibri"/>
      <family val="2"/>
    </font>
    <font>
      <sz val="11"/>
      <color rgb="FF2E74B5"/>
      <name val="Arial"/>
      <family val="2"/>
    </font>
    <font>
      <b/>
      <sz val="11"/>
      <color rgb="FF2E74B5"/>
      <name val="Calibri"/>
      <family val="2"/>
    </font>
    <font>
      <i/>
      <sz val="11"/>
      <color rgb="FF2E74B5"/>
      <name val="Calibri"/>
      <family val="2"/>
    </font>
    <font>
      <b/>
      <sz val="12"/>
      <color theme="1"/>
      <name val="Aptos Narrow"/>
      <scheme val="minor"/>
    </font>
    <font>
      <sz val="11"/>
      <color rgb="FF9C5700"/>
      <name val="Aptos Narrow"/>
      <family val="2"/>
      <scheme val="minor"/>
    </font>
    <font>
      <b/>
      <sz val="11"/>
      <color theme="1"/>
      <name val="Aptos Narrow"/>
      <scheme val="minor"/>
    </font>
    <font>
      <sz val="11"/>
      <color theme="1"/>
      <name val="Aptos Narrow"/>
      <family val="2"/>
      <scheme val="minor"/>
    </font>
    <font>
      <sz val="11"/>
      <color rgb="FF9C0006"/>
      <name val="Aptos Narrow"/>
      <family val="2"/>
      <scheme val="minor"/>
    </font>
    <font>
      <b/>
      <sz val="11"/>
      <color rgb="FF000000"/>
      <name val="Aptos Narrow"/>
    </font>
    <font>
      <b/>
      <sz val="11"/>
      <color theme="1"/>
      <name val="Aptos Narrow"/>
      <family val="2"/>
      <scheme val="minor"/>
    </font>
    <font>
      <sz val="11"/>
      <color theme="0"/>
      <name val="Aptos Narrow"/>
      <family val="2"/>
      <scheme val="minor"/>
    </font>
    <font>
      <b/>
      <sz val="11"/>
      <color theme="0"/>
      <name val="Calibri"/>
      <family val="2"/>
    </font>
    <font>
      <sz val="11"/>
      <color theme="0"/>
      <name val="Calibri"/>
      <family val="2"/>
    </font>
    <font>
      <sz val="11"/>
      <name val="Aptos Narrow"/>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rgb="FFFFFFCC"/>
      </patternFill>
    </fill>
    <fill>
      <patternFill patternType="solid">
        <fgColor theme="3" tint="0.89999084444715716"/>
        <bgColor theme="4" tint="0.79998168889431442"/>
      </patternFill>
    </fill>
    <fill>
      <patternFill patternType="solid">
        <fgColor theme="3" tint="0.89999084444715716"/>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1" applyNumberFormat="0" applyFont="0" applyAlignment="0" applyProtection="0"/>
    <xf numFmtId="0" fontId="5" fillId="0" borderId="0" applyNumberFormat="0" applyFill="0" applyBorder="0" applyAlignment="0" applyProtection="0"/>
  </cellStyleXfs>
  <cellXfs count="61">
    <xf numFmtId="0" fontId="0" fillId="0" borderId="0" xfId="0"/>
    <xf numFmtId="0" fontId="4" fillId="0" borderId="0" xfId="0" applyFo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15" fontId="0" fillId="0" borderId="0" xfId="0" applyNumberFormat="1"/>
    <xf numFmtId="0" fontId="11" fillId="0" borderId="0" xfId="0" applyFont="1"/>
    <xf numFmtId="0" fontId="6" fillId="0" borderId="0" xfId="0" applyFont="1" applyAlignment="1">
      <alignment wrapText="1"/>
    </xf>
    <xf numFmtId="0" fontId="0" fillId="0" borderId="0" xfId="0" applyAlignment="1">
      <alignment wrapText="1"/>
    </xf>
    <xf numFmtId="0" fontId="12" fillId="3" borderId="0" xfId="2" applyFont="1" applyAlignment="1"/>
    <xf numFmtId="0" fontId="13" fillId="0" borderId="0" xfId="0" applyFont="1"/>
    <xf numFmtId="49" fontId="13" fillId="0" borderId="0" xfId="0" applyNumberFormat="1" applyFont="1"/>
    <xf numFmtId="49" fontId="4" fillId="0" borderId="0" xfId="0" applyNumberFormat="1" applyFont="1"/>
    <xf numFmtId="15" fontId="4" fillId="0" borderId="0" xfId="0" applyNumberFormat="1" applyFont="1"/>
    <xf numFmtId="0" fontId="14" fillId="0" borderId="0" xfId="0" applyFont="1" applyAlignment="1"/>
    <xf numFmtId="0" fontId="14" fillId="0" borderId="0" xfId="0" applyFont="1" applyAlignment="1">
      <alignment wrapText="1"/>
    </xf>
    <xf numFmtId="49" fontId="6" fillId="0" borderId="0" xfId="0" applyNumberFormat="1" applyFont="1" applyAlignment="1"/>
    <xf numFmtId="49" fontId="14" fillId="0" borderId="0" xfId="0" applyNumberFormat="1" applyFont="1" applyAlignment="1"/>
    <xf numFmtId="49" fontId="13" fillId="0" borderId="0" xfId="0" applyNumberFormat="1" applyFont="1" applyFill="1"/>
    <xf numFmtId="0" fontId="4" fillId="0" borderId="0" xfId="0" applyFont="1" applyFill="1"/>
    <xf numFmtId="49" fontId="4" fillId="0" borderId="0" xfId="0" applyNumberFormat="1" applyFont="1" applyFill="1"/>
    <xf numFmtId="0" fontId="16" fillId="0" borderId="0" xfId="0" applyFont="1" applyAlignment="1">
      <alignment vertical="center"/>
    </xf>
    <xf numFmtId="0" fontId="17" fillId="0" borderId="0" xfId="0" applyFont="1"/>
    <xf numFmtId="0" fontId="6" fillId="0" borderId="0" xfId="0" applyFont="1" applyAlignment="1">
      <alignment horizontal="left"/>
    </xf>
    <xf numFmtId="0" fontId="14" fillId="0" borderId="0" xfId="0" applyNumberFormat="1" applyFont="1" applyAlignment="1">
      <alignment horizontal="left"/>
    </xf>
    <xf numFmtId="0" fontId="14" fillId="0" borderId="0" xfId="0" applyFont="1" applyAlignment="1">
      <alignment horizontal="left"/>
    </xf>
    <xf numFmtId="0" fontId="6" fillId="0" borderId="0" xfId="0" applyFont="1" applyFill="1" applyAlignment="1"/>
    <xf numFmtId="49" fontId="6" fillId="0" borderId="0" xfId="0" applyNumberFormat="1" applyFont="1" applyFill="1" applyAlignment="1"/>
    <xf numFmtId="49" fontId="15" fillId="0" borderId="0" xfId="1" applyNumberFormat="1" applyFont="1" applyFill="1"/>
    <xf numFmtId="49" fontId="2" fillId="0" borderId="0" xfId="1" applyNumberFormat="1" applyFill="1"/>
    <xf numFmtId="0" fontId="6" fillId="0" borderId="0" xfId="0" applyFont="1" applyFill="1" applyAlignment="1">
      <alignment wrapText="1"/>
    </xf>
    <xf numFmtId="0" fontId="0" fillId="0" borderId="0" xfId="0" applyFill="1"/>
    <xf numFmtId="49" fontId="14" fillId="0" borderId="0" xfId="0" applyNumberFormat="1" applyFont="1" applyFill="1"/>
    <xf numFmtId="49" fontId="0" fillId="0" borderId="0" xfId="0" applyNumberFormat="1" applyFill="1"/>
    <xf numFmtId="49" fontId="14" fillId="0" borderId="0" xfId="0" applyNumberFormat="1" applyFont="1" applyAlignment="1">
      <alignment horizontal="left"/>
    </xf>
    <xf numFmtId="49" fontId="4" fillId="0" borderId="0" xfId="0" applyNumberFormat="1" applyFont="1" applyAlignment="1">
      <alignment horizontal="left"/>
    </xf>
    <xf numFmtId="0" fontId="4" fillId="0" borderId="0" xfId="0" applyFont="1" applyAlignment="1">
      <alignment horizontal="left"/>
    </xf>
    <xf numFmtId="0" fontId="0" fillId="0" borderId="0" xfId="0" applyAlignment="1">
      <alignment horizontal="left"/>
    </xf>
    <xf numFmtId="0" fontId="14" fillId="4" borderId="1" xfId="3" applyNumberFormat="1" applyFont="1" applyAlignment="1">
      <alignment horizontal="left"/>
    </xf>
    <xf numFmtId="0" fontId="6" fillId="4" borderId="1" xfId="3" applyFont="1" applyAlignment="1">
      <alignment wrapText="1"/>
    </xf>
    <xf numFmtId="0" fontId="0" fillId="0" borderId="0" xfId="0" applyFill="1" applyAlignment="1">
      <alignment wrapText="1"/>
    </xf>
    <xf numFmtId="49" fontId="14" fillId="5" borderId="2" xfId="0" applyNumberFormat="1" applyFont="1" applyFill="1" applyBorder="1"/>
    <xf numFmtId="0" fontId="0" fillId="6" borderId="0" xfId="0" applyFill="1"/>
    <xf numFmtId="0" fontId="14" fillId="5" borderId="3" xfId="0" applyFont="1" applyFill="1" applyBorder="1"/>
    <xf numFmtId="49" fontId="14" fillId="5" borderId="3" xfId="0" applyNumberFormat="1" applyFont="1" applyFill="1" applyBorder="1"/>
    <xf numFmtId="49" fontId="0" fillId="6" borderId="0" xfId="0" applyNumberFormat="1" applyFill="1"/>
    <xf numFmtId="49" fontId="14" fillId="6" borderId="2" xfId="0" applyNumberFormat="1" applyFont="1" applyFill="1" applyBorder="1"/>
    <xf numFmtId="0" fontId="14" fillId="6" borderId="3" xfId="0" applyFont="1" applyFill="1" applyBorder="1"/>
    <xf numFmtId="49" fontId="14" fillId="6" borderId="3" xfId="0" applyNumberFormat="1" applyFont="1" applyFill="1" applyBorder="1"/>
    <xf numFmtId="49" fontId="14" fillId="0" borderId="2" xfId="0" applyNumberFormat="1" applyFont="1" applyFill="1" applyBorder="1"/>
    <xf numFmtId="0" fontId="4" fillId="0" borderId="0" xfId="2" applyFont="1" applyFill="1"/>
    <xf numFmtId="0" fontId="18" fillId="0" borderId="0" xfId="0" applyFont="1" applyAlignment="1"/>
    <xf numFmtId="0" fontId="19" fillId="0" borderId="0" xfId="0" applyFont="1" applyAlignment="1"/>
    <xf numFmtId="49" fontId="19" fillId="0" borderId="0" xfId="0" applyNumberFormat="1" applyFont="1" applyAlignment="1"/>
    <xf numFmtId="0" fontId="19" fillId="0" borderId="0" xfId="0" applyFont="1" applyAlignment="1">
      <alignment horizontal="left"/>
    </xf>
    <xf numFmtId="0" fontId="19" fillId="0" borderId="0" xfId="0" applyFont="1" applyAlignment="1">
      <alignment wrapText="1"/>
    </xf>
    <xf numFmtId="0" fontId="21" fillId="0" borderId="0" xfId="2" applyFont="1" applyFill="1" applyAlignment="1"/>
    <xf numFmtId="0" fontId="5" fillId="0" borderId="0" xfId="4"/>
    <xf numFmtId="0" fontId="11" fillId="0" borderId="0" xfId="0" applyFont="1" applyAlignment="1">
      <alignment wrapText="1"/>
    </xf>
  </cellXfs>
  <cellStyles count="5">
    <cellStyle name="Bad" xfId="1" builtinId="27"/>
    <cellStyle name="Hyperlink" xfId="4" builtinId="8"/>
    <cellStyle name="Neutral" xfId="2" builtinId="28"/>
    <cellStyle name="Normal" xfId="0" builtinId="0"/>
    <cellStyle name="Note" xfId="3" builtinId="10"/>
  </cellStyles>
  <dxfs count="42">
    <dxf>
      <font>
        <color rgb="FF9C5700"/>
      </font>
      <fill>
        <patternFill>
          <bgColor rgb="FFFFEB9C"/>
        </patternFill>
      </fill>
    </dxf>
    <dxf>
      <font>
        <b val="0"/>
        <i val="0"/>
        <strike val="0"/>
        <condense val="0"/>
        <extend val="0"/>
        <outline val="0"/>
        <shadow val="0"/>
        <u val="none"/>
        <vertAlign val="baseline"/>
        <sz val="11"/>
        <color theme="1"/>
        <name val="Aptos Narrow"/>
        <scheme val="minor"/>
      </font>
      <numFmt numFmtId="30" formatCode="@"/>
      <fill>
        <patternFill patternType="none">
          <fgColor indexed="64"/>
          <bgColor indexed="65"/>
        </patternFill>
      </fill>
    </dxf>
    <dxf>
      <font>
        <b/>
        <i val="0"/>
        <strike val="0"/>
        <condense val="0"/>
        <extend val="0"/>
        <outline val="0"/>
        <shadow val="0"/>
        <u val="none"/>
        <vertAlign val="baseline"/>
        <sz val="11"/>
        <color theme="0"/>
        <name val="Calibri"/>
        <family val="2"/>
        <scheme val="none"/>
      </font>
      <alignment horizontal="general" vertical="bottom" textRotation="0" wrapText="0" indent="0" justifyLastLine="0" shrinkToFit="0" readingOrder="0"/>
    </dxf>
    <dxf>
      <font>
        <b val="0"/>
        <i/>
        <strike val="0"/>
        <condense val="0"/>
        <extend val="0"/>
        <outline val="0"/>
        <shadow val="0"/>
        <u val="none"/>
        <vertAlign val="baseline"/>
        <sz val="11"/>
        <color rgb="FF2E74B5"/>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rgb="FF2E74B5"/>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rgb="FF2E74B5"/>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2E74B5"/>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70C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70C0"/>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70C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70C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70C0"/>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30" formatCode="@"/>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62EC94-E458-EB42-AB67-87050DFDC399}" name="Landscape" displayName="Landscape" ref="A1:M40" totalsRowShown="0" headerRowDxfId="2">
  <autoFilter ref="A1:M40" xr:uid="{8E62EC94-E458-EB42-AB67-87050DFDC399}"/>
  <tableColumns count="13">
    <tableColumn id="1" xr3:uid="{6ADE735E-1891-6547-B7F6-DECA3C7AE8BB}" name="Landscape Index" dataDxfId="15"/>
    <tableColumn id="2" xr3:uid="{0B96650B-BDF1-E942-BD7F-F80D175340A9}" name="Modality ID" dataDxfId="14"/>
    <tableColumn id="3" xr3:uid="{4F3258C7-0E93-C54C-8D5B-6AECFF5BA2BA}" name="Modality location " dataDxfId="13"/>
    <tableColumn id="4" xr3:uid="{1895F6E9-5B35-0C43-8B10-D54B088DFD78}" name="Modality type " dataDxfId="12"/>
    <tableColumn id="5" xr3:uid="{C667A5CB-3C93-8F42-8A73-6E511D125DFE}" name="Model number " dataDxfId="11"/>
    <tableColumn id="6" xr3:uid="{063F28B8-882D-C146-B4B4-6EAEA5CDDEFE}" name="Model number should be" dataDxfId="10"/>
    <tableColumn id="7" xr3:uid="{AA80C74F-8FB9-6E40-BC59-85C0DE2B906F}" name="Asset Tag" dataDxfId="9"/>
    <tableColumn id="8" xr3:uid="{1A238F9E-E93B-AB49-BCA8-517E5652F26F}" name="Vendor Serial" dataDxfId="8">
      <calculatedColumnFormula>_xlfn.XLOOKUP(G2,UpKeepData[Asset Tag (UpKeep)],UpKeepData[Serial Number (UpKeep)],"undef",0)</calculatedColumnFormula>
    </tableColumn>
    <tableColumn id="9" xr3:uid="{F00CF67D-C022-E04E-95BB-4CEBE77117E6}" name="Note" dataDxfId="7"/>
    <tableColumn id="10" xr3:uid="{0E36EF49-5761-1D44-B526-9820B3B1C47A}" name="Quantity " dataDxfId="6"/>
    <tableColumn id="11" xr3:uid="{2D8FCD1C-AD8D-4A40-BB86-9B7E8B269A59}" name="Digital (Y/N) " dataDxfId="5"/>
    <tableColumn id="12" xr3:uid="{A9D8DF23-CDD1-7F45-AD35-7A3E3967A85C}" name="Operational (Y/N) " dataDxfId="4"/>
    <tableColumn id="13" xr3:uid="{B04B03F5-83EB-D942-B788-3CD57C2CAE7D}" name="DICOM License (Y/N) "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8A5AC-B78D-F245-891B-845670EC45D0}" name="UpKeepData" displayName="UpKeepData" ref="A1:Y36" totalsRowShown="0" headerRowDxfId="16" dataDxfId="17">
  <autoFilter ref="A1:Y36" xr:uid="{40F8A5AC-B78D-F245-891B-845670EC45D0}"/>
  <sortState xmlns:xlrd2="http://schemas.microsoft.com/office/spreadsheetml/2017/richdata2" ref="A2:Y36">
    <sortCondition ref="M1:M36"/>
  </sortState>
  <tableColumns count="25">
    <tableColumn id="1" xr3:uid="{3ECECF76-151F-AF40-8582-F0BA60D7C435}" name="Asset Tag (UpKeep)" dataDxfId="41"/>
    <tableColumn id="7" xr3:uid="{542D0D3B-9B5D-A24D-B09C-BF33E7779674}" name="Normalized Location Name" dataDxfId="1">
      <calculatedColumnFormula>_xlfn.CONCAT("LS - ",D2," - ",E2)</calculatedColumnFormula>
    </tableColumn>
    <tableColumn id="2" xr3:uid="{ADE3B8C3-9D80-6749-A082-DB1A0F49FE3A}" name="Parent Location" dataDxfId="40"/>
    <tableColumn id="3" xr3:uid="{2CE0F340-1E29-A04A-802C-CB7E8E8B9744}" name="Parent Abbrev" dataDxfId="39"/>
    <tableColumn id="4" xr3:uid="{2BC3F337-5666-8A42-8ABC-3FFA9077AA1B}" name="Site Location" dataDxfId="38"/>
    <tableColumn id="5" xr3:uid="{54173784-CC1E-244E-A537-AF4F71217195}" name="Inconsistent" dataDxfId="37">
      <calculatedColumnFormula>G2&lt;&gt;B2</calculatedColumnFormula>
    </tableColumn>
    <tableColumn id="6" xr3:uid="{8D43A4C9-B35D-624A-AAE8-1FD31581E5BC}" name="Upkeep Location Name" dataDxfId="36"/>
    <tableColumn id="8" xr3:uid="{8317FDFE-B7C1-FD4D-B06F-56F8BA86A962}" name="Location Note" dataDxfId="35"/>
    <tableColumn id="9" xr3:uid="{9DB15CBC-75E4-2A42-BF40-DD27236764FD}" name="Asset Name (UpKeep)" dataDxfId="34"/>
    <tableColumn id="10" xr3:uid="{0724CF0F-4887-5140-82D9-1D80A5F65D3B}" name="Manufacturer" dataDxfId="33"/>
    <tableColumn id="11" xr3:uid="{A8496DAF-8937-2649-B72E-84B826AF96F5}" name="Model (UpKeep)" dataDxfId="32"/>
    <tableColumn id="12" xr3:uid="{111F2512-BDC2-3F40-B28A-3D2A01602EDA}" name="Serial Number (UpKeep)" dataDxfId="31"/>
    <tableColumn id="13" xr3:uid="{8DE76539-F5C8-6F42-9BCD-E6B25F5EDE87}" name="Normalized Serial" dataDxfId="30"/>
    <tableColumn id="14" xr3:uid="{4D5CC5EC-6C72-A246-BDF8-D12C0FCE2875}" name="Category" dataDxfId="29"/>
    <tableColumn id="15" xr3:uid="{0FD1A22E-2D72-EE45-8266-E2CA6E9D0998}" name="Downtime Status" dataDxfId="28"/>
    <tableColumn id="16" xr3:uid="{7861F6C0-8964-184A-84CA-C240B7119414}" name="Purchase Date" dataDxfId="27"/>
    <tableColumn id="17" xr3:uid="{691DCDB1-FACC-0443-9E64-1DB4B5715738}" name="Placed In Service Date" dataDxfId="26"/>
    <tableColumn id="18" xr3:uid="{4C3970AA-D1F0-444C-82CC-7531B4D584FB}" name="Most Recent Work Order Completed Date" dataDxfId="25"/>
    <tableColumn id="19" xr3:uid="{5080AC39-5C40-4041-AD2D-75923D749EFF}" name="Warranty Expiration" dataDxfId="24"/>
    <tableColumn id="20" xr3:uid="{86BF675C-DFB6-2A44-B58C-700F2E7D3218}" name="Parent Asset Tag" dataDxfId="23"/>
    <tableColumn id="21" xr3:uid="{E1796198-D6E4-7C4A-B8EC-4C2E29496271}" name="Parent Asset Name" dataDxfId="22"/>
    <tableColumn id="22" xr3:uid="{06FA9E26-18E7-614C-B488-AC1C92E636E1}" name="Parent Asset Downtime Status" dataDxfId="21"/>
    <tableColumn id="23" xr3:uid="{C933BBDD-9707-9744-B9EB-8684213A53D1}" name="Parent Asset OB Code" dataDxfId="20"/>
    <tableColumn id="24" xr3:uid="{D14D3C71-80FA-6342-8B64-4CC2CA5C59AC}" name="Column2" dataDxfId="19"/>
    <tableColumn id="25" xr3:uid="{81F979E5-0945-F34C-A031-2B8CBB27464C}" name="Notes"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pp.powerbi.com/groups/me/apps/969c15c9-2e05-4604-a0f6-1d8c72ac86b7/reports/dac869c4-964b-41c0-b42e-89c24010105f/e2bd2a94467fc42e9798?ctid=5254789f-6860-4375-85bc-302509fad508&amp;experience=power-bi" TargetMode="External"/><Relationship Id="rId1" Type="http://schemas.openxmlformats.org/officeDocument/2006/relationships/hyperlink" Target="https://partnersinhealth.sharepoint.com/:w:/r/sites/GRP-PACSAfrica/Shared%20Documents/PIH-Lesotho/2.%20Lesotho%20PACS%20Technical%20Resources%20and%20Requirements/PIH-Lesotho%20PACS%20Landscape%20Assessment%20(FKA%20Intake%20Survey)/PIH-Lesotho%20PACS%20Landscape%20Assessment%20(with%20final%20comments).docx?d=w18d336876957417784e753cbdabc81f7&amp;csf=1&amp;web=1&amp;e=b7dCF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E051-1EBF-E447-8D63-4AA3F7CF545E}">
  <dimension ref="A1:D56"/>
  <sheetViews>
    <sheetView topLeftCell="A16" workbookViewId="0">
      <selection activeCell="A14" sqref="A14"/>
    </sheetView>
    <sheetView tabSelected="1" workbookViewId="1">
      <selection activeCell="B17" sqref="B17"/>
    </sheetView>
  </sheetViews>
  <sheetFormatPr baseColWidth="10" defaultRowHeight="16" x14ac:dyDescent="0.2"/>
  <cols>
    <col min="1" max="1" width="20.6640625" customWidth="1"/>
    <col min="2" max="2" width="108.5" style="10" customWidth="1"/>
    <col min="3" max="3" width="7.1640625" customWidth="1"/>
    <col min="4" max="4" width="28.33203125" customWidth="1"/>
  </cols>
  <sheetData>
    <row r="1" spans="1:4" ht="34" x14ac:dyDescent="0.2">
      <c r="B1" s="60" t="s">
        <v>291</v>
      </c>
    </row>
    <row r="2" spans="1:4" x14ac:dyDescent="0.2">
      <c r="A2" s="8" t="s">
        <v>293</v>
      </c>
      <c r="B2" s="60"/>
    </row>
    <row r="3" spans="1:4" ht="17" x14ac:dyDescent="0.2">
      <c r="A3" s="8" t="s">
        <v>294</v>
      </c>
      <c r="B3" s="10" t="s">
        <v>285</v>
      </c>
      <c r="D3" s="59" t="s">
        <v>286</v>
      </c>
    </row>
    <row r="4" spans="1:4" ht="17" x14ac:dyDescent="0.2">
      <c r="A4" s="8" t="s">
        <v>294</v>
      </c>
      <c r="B4" s="10" t="s">
        <v>287</v>
      </c>
    </row>
    <row r="5" spans="1:4" ht="34" x14ac:dyDescent="0.2">
      <c r="A5" s="8" t="s">
        <v>294</v>
      </c>
      <c r="B5" s="10" t="s">
        <v>288</v>
      </c>
    </row>
    <row r="6" spans="1:4" ht="34" x14ac:dyDescent="0.2">
      <c r="A6" s="8" t="s">
        <v>295</v>
      </c>
      <c r="B6" s="10" t="s">
        <v>292</v>
      </c>
    </row>
    <row r="7" spans="1:4" ht="17" x14ac:dyDescent="0.2">
      <c r="A7" s="8" t="s">
        <v>295</v>
      </c>
      <c r="B7" s="10" t="s">
        <v>289</v>
      </c>
      <c r="D7" s="59" t="s">
        <v>290</v>
      </c>
    </row>
    <row r="8" spans="1:4" ht="17" x14ac:dyDescent="0.2">
      <c r="A8" s="8" t="s">
        <v>296</v>
      </c>
      <c r="B8" s="10" t="s">
        <v>297</v>
      </c>
    </row>
    <row r="10" spans="1:4" x14ac:dyDescent="0.2">
      <c r="B10" s="60"/>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sheetData>
  <hyperlinks>
    <hyperlink ref="D3" r:id="rId1" display="https://partnersinhealth.sharepoint.com/:w:/r/sites/GRP-PACSAfrica/Shared Documents/PIH-Lesotho/2. Lesotho PACS Technical Resources and Requirements/PIH-Lesotho PACS Landscape Assessment (FKA Intake Survey)/PIH-Lesotho PACS Landscape Assessment (with final comments).docx?d=w18d336876957417784e753cbdabc81f7&amp;csf=1&amp;web=1&amp;e=b7dCFG" xr:uid="{0BEA41D3-3FD1-0C4D-81B2-EB96C1F833A0}"/>
    <hyperlink ref="D7" r:id="rId2" xr:uid="{53347D41-8CFD-5449-B59C-89D0B760B7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245A-4231-0246-82AB-AFEAF58BA5D1}">
  <dimension ref="A1:V47"/>
  <sheetViews>
    <sheetView topLeftCell="A2" zoomScale="110" zoomScaleNormal="110" workbookViewId="0">
      <selection activeCell="C16" sqref="C16"/>
    </sheetView>
    <sheetView topLeftCell="A23" zoomScale="120" zoomScaleNormal="120" workbookViewId="1"/>
  </sheetViews>
  <sheetFormatPr baseColWidth="10" defaultRowHeight="15" x14ac:dyDescent="0.2"/>
  <cols>
    <col min="1" max="1" width="15.83203125" style="16" customWidth="1"/>
    <col min="2" max="2" width="13.6640625" style="16" customWidth="1"/>
    <col min="3" max="3" width="26.1640625" style="16" customWidth="1"/>
    <col min="4" max="4" width="20.83203125" style="16" customWidth="1"/>
    <col min="5" max="5" width="33.83203125" style="16" customWidth="1"/>
    <col min="6" max="6" width="23.83203125" style="19" customWidth="1"/>
    <col min="7" max="7" width="13.5" style="27" customWidth="1"/>
    <col min="8" max="8" width="20.83203125" style="27" customWidth="1"/>
    <col min="9" max="9" width="24.6640625" style="17" customWidth="1"/>
    <col min="10" max="10" width="10.83203125" style="16"/>
    <col min="11" max="11" width="13.1640625" style="16" customWidth="1"/>
    <col min="12" max="12" width="17" style="16" customWidth="1"/>
    <col min="13" max="13" width="29.83203125" style="16" customWidth="1"/>
    <col min="14" max="17" width="10.83203125" style="16"/>
    <col min="18" max="18" width="45.33203125" style="16" customWidth="1"/>
    <col min="19" max="19" width="47" style="16" customWidth="1"/>
    <col min="20" max="20" width="27.6640625" style="16" customWidth="1"/>
    <col min="21" max="16384" width="10.83203125" style="16"/>
  </cols>
  <sheetData>
    <row r="1" spans="1:22" s="53" customFormat="1" ht="16" x14ac:dyDescent="0.2">
      <c r="A1" s="53" t="s">
        <v>266</v>
      </c>
      <c r="B1" s="53" t="s">
        <v>161</v>
      </c>
      <c r="C1" s="54" t="s">
        <v>275</v>
      </c>
      <c r="D1" s="54" t="s">
        <v>276</v>
      </c>
      <c r="E1" s="54" t="s">
        <v>277</v>
      </c>
      <c r="F1" s="55" t="s">
        <v>228</v>
      </c>
      <c r="G1" s="56" t="s">
        <v>169</v>
      </c>
      <c r="H1" s="56" t="s">
        <v>262</v>
      </c>
      <c r="I1" s="57" t="s">
        <v>162</v>
      </c>
      <c r="J1" s="54" t="s">
        <v>278</v>
      </c>
      <c r="K1" s="54" t="s">
        <v>279</v>
      </c>
      <c r="L1" s="54" t="s">
        <v>280</v>
      </c>
      <c r="M1" s="54" t="s">
        <v>281</v>
      </c>
    </row>
    <row r="2" spans="1:22" ht="16" x14ac:dyDescent="0.2">
      <c r="A2" s="16">
        <v>6</v>
      </c>
      <c r="C2" s="2" t="s">
        <v>17</v>
      </c>
      <c r="D2" s="2" t="s">
        <v>18</v>
      </c>
      <c r="E2" s="2" t="s">
        <v>19</v>
      </c>
      <c r="F2" s="18"/>
      <c r="G2" s="25"/>
      <c r="H2" s="25"/>
      <c r="I2" s="9" t="s">
        <v>20</v>
      </c>
      <c r="J2" s="3" t="s">
        <v>21</v>
      </c>
      <c r="K2" s="5" t="s">
        <v>10</v>
      </c>
      <c r="L2" s="5" t="s">
        <v>10</v>
      </c>
      <c r="M2" s="6" t="s">
        <v>11</v>
      </c>
    </row>
    <row r="3" spans="1:22" ht="16" x14ac:dyDescent="0.2">
      <c r="A3" s="16">
        <v>7</v>
      </c>
      <c r="C3" s="2" t="s">
        <v>22</v>
      </c>
      <c r="D3" s="2" t="s">
        <v>18</v>
      </c>
      <c r="E3" s="2" t="s">
        <v>19</v>
      </c>
      <c r="F3" s="18"/>
      <c r="G3" s="25"/>
      <c r="H3" s="25"/>
      <c r="I3" s="9" t="s">
        <v>20</v>
      </c>
      <c r="J3" s="3" t="s">
        <v>23</v>
      </c>
      <c r="K3" s="5" t="s">
        <v>10</v>
      </c>
      <c r="L3" s="5" t="s">
        <v>10</v>
      </c>
      <c r="M3" s="6" t="s">
        <v>11</v>
      </c>
    </row>
    <row r="4" spans="1:22" x14ac:dyDescent="0.2">
      <c r="A4" s="16">
        <v>37</v>
      </c>
      <c r="C4" s="2" t="s">
        <v>60</v>
      </c>
      <c r="D4" s="2" t="s">
        <v>27</v>
      </c>
      <c r="E4" s="2" t="s">
        <v>47</v>
      </c>
      <c r="F4" s="18"/>
      <c r="G4" s="36" t="s">
        <v>198</v>
      </c>
      <c r="H4" s="26" t="str">
        <f>_xlfn.XLOOKUP(G4,UpKeepData[Asset Tag (UpKeep)],UpKeepData[Serial Number (UpKeep)],"undef",0)</f>
        <v>BT21140486</v>
      </c>
      <c r="I4" s="9"/>
      <c r="J4" s="3" t="s">
        <v>3</v>
      </c>
      <c r="K4" s="5" t="s">
        <v>10</v>
      </c>
      <c r="L4" s="5" t="s">
        <v>10</v>
      </c>
      <c r="M4" s="6" t="s">
        <v>11</v>
      </c>
      <c r="U4" s="16" t="s">
        <v>64</v>
      </c>
      <c r="V4" s="16" t="s">
        <v>65</v>
      </c>
    </row>
    <row r="5" spans="1:22" x14ac:dyDescent="0.2">
      <c r="A5" s="16">
        <v>36</v>
      </c>
      <c r="C5" s="2" t="s">
        <v>60</v>
      </c>
      <c r="D5" s="2" t="s">
        <v>27</v>
      </c>
      <c r="E5" s="2" t="s">
        <v>63</v>
      </c>
      <c r="F5" s="18"/>
      <c r="G5" s="36" t="s">
        <v>75</v>
      </c>
      <c r="H5" s="26" t="str">
        <f>_xlfn.XLOOKUP(G5,UpKeepData[Asset Tag (UpKeep)],UpKeepData[Serial Number (UpKeep)],"undef",0)</f>
        <v>032D7V</v>
      </c>
      <c r="I5" s="9"/>
      <c r="J5" s="3" t="s">
        <v>3</v>
      </c>
      <c r="K5" s="5" t="s">
        <v>10</v>
      </c>
      <c r="L5" s="5" t="s">
        <v>10</v>
      </c>
      <c r="M5" s="6" t="s">
        <v>11</v>
      </c>
    </row>
    <row r="6" spans="1:22" x14ac:dyDescent="0.2">
      <c r="A6" s="16">
        <v>34</v>
      </c>
      <c r="C6" s="2" t="s">
        <v>60</v>
      </c>
      <c r="D6" s="2" t="s">
        <v>30</v>
      </c>
      <c r="E6" s="2" t="s">
        <v>61</v>
      </c>
      <c r="F6" s="18"/>
      <c r="G6" s="36" t="s">
        <v>82</v>
      </c>
      <c r="H6" s="26" t="str">
        <f>_xlfn.XLOOKUP(G6,UpKeepData[Asset Tag (UpKeep)],UpKeepData[Serial Number (UpKeep)],"undef",0)</f>
        <v>CMK2105</v>
      </c>
      <c r="I6" s="9"/>
      <c r="J6" s="3" t="s">
        <v>3</v>
      </c>
      <c r="K6" s="5" t="s">
        <v>10</v>
      </c>
      <c r="L6" s="5" t="s">
        <v>10</v>
      </c>
      <c r="M6" s="6" t="s">
        <v>11</v>
      </c>
    </row>
    <row r="7" spans="1:22" x14ac:dyDescent="0.2">
      <c r="A7" s="16">
        <v>35</v>
      </c>
      <c r="C7" s="2" t="s">
        <v>60</v>
      </c>
      <c r="D7" s="2" t="s">
        <v>62</v>
      </c>
      <c r="E7" s="2" t="s">
        <v>33</v>
      </c>
      <c r="F7" s="18"/>
      <c r="G7" s="36" t="s">
        <v>195</v>
      </c>
      <c r="H7" s="26" t="str">
        <f>_xlfn.XLOOKUP(G7,UpKeepData[Asset Tag (UpKeep)],UpKeepData[Serial Number (UpKeep)],"undef",0)</f>
        <v>32345</v>
      </c>
      <c r="I7" s="9"/>
      <c r="J7" s="3" t="s">
        <v>3</v>
      </c>
      <c r="K7" s="5" t="s">
        <v>34</v>
      </c>
      <c r="L7" s="5" t="s">
        <v>34</v>
      </c>
      <c r="M7" s="6" t="s">
        <v>6</v>
      </c>
    </row>
    <row r="8" spans="1:22" x14ac:dyDescent="0.2">
      <c r="A8" s="16">
        <v>4</v>
      </c>
      <c r="C8" s="2" t="s">
        <v>0</v>
      </c>
      <c r="D8" s="2" t="s">
        <v>14</v>
      </c>
      <c r="E8" s="2" t="s">
        <v>15</v>
      </c>
      <c r="F8" s="18"/>
      <c r="G8" s="36" t="s">
        <v>200</v>
      </c>
      <c r="H8" s="26" t="str">
        <f>_xlfn.XLOOKUP(G8,UpKeepData[Asset Tag (UpKeep)],UpKeepData[Serial Number (UpKeep)],"undef",0)</f>
        <v>BT21140B12</v>
      </c>
      <c r="I8" s="9"/>
      <c r="J8" s="5" t="s">
        <v>9</v>
      </c>
      <c r="K8" s="5" t="s">
        <v>10</v>
      </c>
      <c r="L8" s="5" t="s">
        <v>10</v>
      </c>
      <c r="M8" s="6" t="s">
        <v>11</v>
      </c>
    </row>
    <row r="9" spans="1:22" x14ac:dyDescent="0.2">
      <c r="A9" s="16">
        <v>5</v>
      </c>
      <c r="C9" s="2" t="s">
        <v>0</v>
      </c>
      <c r="D9" s="2" t="s">
        <v>14</v>
      </c>
      <c r="E9" s="2" t="s">
        <v>16</v>
      </c>
      <c r="F9" s="18"/>
      <c r="G9" s="37" t="s">
        <v>201</v>
      </c>
      <c r="H9" s="26" t="str">
        <f>_xlfn.XLOOKUP(G9,UpKeepData[Asset Tag (UpKeep)],UpKeepData[Serial Number (UpKeep)],"undef",0)</f>
        <v>03R92L</v>
      </c>
      <c r="I9" s="9"/>
      <c r="J9" s="5" t="s">
        <v>9</v>
      </c>
      <c r="K9" s="5" t="s">
        <v>10</v>
      </c>
      <c r="L9" s="5" t="s">
        <v>10</v>
      </c>
      <c r="M9" s="6" t="s">
        <v>11</v>
      </c>
    </row>
    <row r="10" spans="1:22" x14ac:dyDescent="0.2">
      <c r="A10" s="16">
        <v>1</v>
      </c>
      <c r="C10" s="2" t="s">
        <v>0</v>
      </c>
      <c r="D10" s="2" t="s">
        <v>1</v>
      </c>
      <c r="E10" s="2" t="s">
        <v>2</v>
      </c>
      <c r="F10" s="18"/>
      <c r="G10" s="27" t="s">
        <v>223</v>
      </c>
      <c r="H10" s="26" t="str">
        <f>_xlfn.XLOOKUP(G10,UpKeepData[Asset Tag (UpKeep)],UpKeepData[Serial Number (UpKeep)],"undef",0)</f>
        <v>503-48500-12</v>
      </c>
      <c r="I10" s="9"/>
      <c r="J10" s="3" t="s">
        <v>3</v>
      </c>
      <c r="K10" s="4" t="s">
        <v>4</v>
      </c>
      <c r="L10" s="5" t="s">
        <v>5</v>
      </c>
      <c r="M10" s="6" t="s">
        <v>6</v>
      </c>
    </row>
    <row r="11" spans="1:22" x14ac:dyDescent="0.2">
      <c r="A11" s="16">
        <v>2</v>
      </c>
      <c r="C11" s="2" t="s">
        <v>0</v>
      </c>
      <c r="D11" s="2" t="s">
        <v>7</v>
      </c>
      <c r="E11" s="2" t="s">
        <v>8</v>
      </c>
      <c r="F11" s="18"/>
      <c r="G11" s="36" t="s">
        <v>187</v>
      </c>
      <c r="H11" s="26" t="str">
        <f>_xlfn.XLOOKUP(G11,UpKeepData[Asset Tag (UpKeep)],UpKeepData[Serial Number (UpKeep)],"undef",0)</f>
        <v>PKL12432</v>
      </c>
      <c r="I11" s="9"/>
      <c r="J11" s="5" t="s">
        <v>9</v>
      </c>
      <c r="K11" s="5" t="s">
        <v>10</v>
      </c>
      <c r="L11" s="5" t="s">
        <v>10</v>
      </c>
      <c r="M11" s="6" t="s">
        <v>11</v>
      </c>
    </row>
    <row r="12" spans="1:22" ht="48" x14ac:dyDescent="0.2">
      <c r="A12" s="16">
        <v>3</v>
      </c>
      <c r="C12" s="2" t="s">
        <v>0</v>
      </c>
      <c r="D12" s="2" t="s">
        <v>12</v>
      </c>
      <c r="E12" s="58" t="s">
        <v>13</v>
      </c>
      <c r="F12" s="14" t="s">
        <v>192</v>
      </c>
      <c r="G12" s="36" t="s">
        <v>191</v>
      </c>
      <c r="H12" s="26" t="str">
        <f>_xlfn.XLOOKUP(G12,UpKeepData[Asset Tag (UpKeep)],UpKeepData[Serial Number (UpKeep)],"undef",0)</f>
        <v>BR10220</v>
      </c>
      <c r="I12" s="41" t="s">
        <v>282</v>
      </c>
      <c r="J12" s="5" t="s">
        <v>9</v>
      </c>
      <c r="K12" s="5" t="s">
        <v>10</v>
      </c>
      <c r="L12" s="5" t="s">
        <v>10</v>
      </c>
      <c r="M12" s="6" t="s">
        <v>11</v>
      </c>
    </row>
    <row r="13" spans="1:22" x14ac:dyDescent="0.2">
      <c r="A13" s="16">
        <v>31</v>
      </c>
      <c r="C13" s="2" t="s">
        <v>55</v>
      </c>
      <c r="D13" s="2" t="s">
        <v>27</v>
      </c>
      <c r="E13" s="2" t="s">
        <v>39</v>
      </c>
      <c r="F13" s="18"/>
      <c r="G13" s="38" t="s">
        <v>214</v>
      </c>
      <c r="H13" s="26" t="str">
        <f>_xlfn.XLOOKUP(G13,UpKeepData[Asset Tag (UpKeep)],UpKeepData[Serial Number (UpKeep)],"undef",0)</f>
        <v>24190422</v>
      </c>
      <c r="I13" s="9"/>
      <c r="J13" s="3" t="s">
        <v>3</v>
      </c>
      <c r="K13" s="5" t="s">
        <v>10</v>
      </c>
      <c r="L13" s="5" t="s">
        <v>10</v>
      </c>
      <c r="M13" s="6" t="s">
        <v>11</v>
      </c>
    </row>
    <row r="14" spans="1:22" x14ac:dyDescent="0.2">
      <c r="A14" s="16">
        <v>32</v>
      </c>
      <c r="C14" s="2" t="s">
        <v>55</v>
      </c>
      <c r="D14" s="2" t="s">
        <v>30</v>
      </c>
      <c r="E14" s="2" t="s">
        <v>57</v>
      </c>
      <c r="F14" s="18"/>
      <c r="G14" s="38" t="s">
        <v>210</v>
      </c>
      <c r="H14" s="26" t="str">
        <f>_xlfn.XLOOKUP(G14,UpKeepData[Asset Tag (UpKeep)],UpKeepData[Serial Number (UpKeep)],"undef",0)</f>
        <v>XDRH-6213</v>
      </c>
      <c r="I14" s="9"/>
      <c r="J14" s="3" t="s">
        <v>3</v>
      </c>
      <c r="K14" s="5" t="s">
        <v>10</v>
      </c>
      <c r="L14" s="5" t="s">
        <v>10</v>
      </c>
      <c r="M14" s="6" t="s">
        <v>11</v>
      </c>
    </row>
    <row r="15" spans="1:22" x14ac:dyDescent="0.2">
      <c r="A15" s="16">
        <v>30</v>
      </c>
      <c r="C15" s="2" t="s">
        <v>55</v>
      </c>
      <c r="D15" s="2" t="s">
        <v>27</v>
      </c>
      <c r="E15" s="2" t="s">
        <v>56</v>
      </c>
      <c r="F15" s="18"/>
      <c r="G15" s="38" t="s">
        <v>204</v>
      </c>
      <c r="H15" s="26" t="str">
        <f>_xlfn.XLOOKUP(G15,UpKeepData[Asset Tag (UpKeep)],UpKeepData[Serial Number (UpKeep)],"undef",0)</f>
        <v>03NHXN</v>
      </c>
      <c r="I15" s="9"/>
      <c r="J15" s="3" t="s">
        <v>3</v>
      </c>
      <c r="K15" s="5" t="s">
        <v>10</v>
      </c>
      <c r="L15" s="5" t="s">
        <v>10</v>
      </c>
      <c r="M15" s="6" t="s">
        <v>11</v>
      </c>
    </row>
    <row r="16" spans="1:22" x14ac:dyDescent="0.2">
      <c r="A16" s="16">
        <v>33</v>
      </c>
      <c r="C16" s="2" t="s">
        <v>55</v>
      </c>
      <c r="D16" s="2" t="s">
        <v>58</v>
      </c>
      <c r="E16" s="11" t="s">
        <v>59</v>
      </c>
      <c r="F16" s="14" t="s">
        <v>229</v>
      </c>
      <c r="G16" s="38" t="s">
        <v>220</v>
      </c>
      <c r="H16" s="26" t="str">
        <f>_xlfn.XLOOKUP(G16,UpKeepData[Asset Tag (UpKeep)],UpKeepData[Serial Number (UpKeep)],"undef",0)</f>
        <v>AERB/XT/02A/09</v>
      </c>
      <c r="I16" s="9"/>
      <c r="J16" s="3" t="s">
        <v>3</v>
      </c>
      <c r="K16" s="5" t="s">
        <v>34</v>
      </c>
      <c r="L16" s="5" t="s">
        <v>34</v>
      </c>
      <c r="M16" s="6" t="s">
        <v>6</v>
      </c>
    </row>
    <row r="17" spans="1:13" ht="16" x14ac:dyDescent="0.2">
      <c r="A17" s="16">
        <v>28</v>
      </c>
      <c r="C17" s="2" t="s">
        <v>51</v>
      </c>
      <c r="D17" s="2" t="s">
        <v>14</v>
      </c>
      <c r="E17" s="2" t="s">
        <v>47</v>
      </c>
      <c r="F17" s="18"/>
      <c r="G17" s="38">
        <v>35038429779</v>
      </c>
      <c r="H17" s="40" t="str">
        <f>_xlfn.XLOOKUP(G17,UpKeepData[Asset Tag (UpKeep)],UpKeepData[Serial Number (UpKeep)],"undef",0)</f>
        <v>(21)BT21130623</v>
      </c>
      <c r="I17" s="9" t="s">
        <v>249</v>
      </c>
      <c r="J17" s="3" t="s">
        <v>3</v>
      </c>
      <c r="K17" s="5" t="s">
        <v>10</v>
      </c>
      <c r="L17" s="5" t="s">
        <v>10</v>
      </c>
      <c r="M17" s="6" t="s">
        <v>11</v>
      </c>
    </row>
    <row r="18" spans="1:13" x14ac:dyDescent="0.2">
      <c r="A18" s="16">
        <v>29</v>
      </c>
      <c r="C18" s="2" t="s">
        <v>51</v>
      </c>
      <c r="D18" s="2" t="s">
        <v>52</v>
      </c>
      <c r="E18" s="2" t="s">
        <v>39</v>
      </c>
      <c r="F18" s="18"/>
      <c r="G18" s="37" t="s">
        <v>105</v>
      </c>
      <c r="H18" s="26">
        <f>_xlfn.XLOOKUP(G18,UpKeepData[Asset Tag (UpKeep)],UpKeepData[Serial Number (UpKeep)],"undef",0)</f>
        <v>24190239</v>
      </c>
      <c r="I18" s="9"/>
      <c r="J18" s="3" t="s">
        <v>3</v>
      </c>
      <c r="K18" s="5" t="s">
        <v>10</v>
      </c>
      <c r="L18" s="5" t="s">
        <v>10</v>
      </c>
      <c r="M18" s="6" t="s">
        <v>11</v>
      </c>
    </row>
    <row r="19" spans="1:13" x14ac:dyDescent="0.2">
      <c r="A19" s="16">
        <v>26</v>
      </c>
      <c r="C19" s="2" t="s">
        <v>51</v>
      </c>
      <c r="D19" s="2" t="s">
        <v>52</v>
      </c>
      <c r="E19" s="2" t="s">
        <v>53</v>
      </c>
      <c r="F19" s="18"/>
      <c r="G19" s="37" t="s">
        <v>219</v>
      </c>
      <c r="H19" s="26" t="str">
        <f>_xlfn.XLOOKUP(G19,UpKeepData[Asset Tag (UpKeep)],UpKeepData[Serial Number (UpKeep)],"undef",0)</f>
        <v>undef</v>
      </c>
      <c r="I19" s="9"/>
      <c r="J19" s="3" t="s">
        <v>3</v>
      </c>
      <c r="K19" s="5" t="s">
        <v>10</v>
      </c>
      <c r="L19" s="5" t="s">
        <v>10</v>
      </c>
      <c r="M19" s="6" t="s">
        <v>11</v>
      </c>
    </row>
    <row r="20" spans="1:13" x14ac:dyDescent="0.2">
      <c r="A20" s="16">
        <v>27</v>
      </c>
      <c r="C20" s="2" t="s">
        <v>51</v>
      </c>
      <c r="D20" s="2" t="s">
        <v>32</v>
      </c>
      <c r="E20" s="2" t="s">
        <v>54</v>
      </c>
      <c r="F20" s="18"/>
      <c r="G20" s="36">
        <v>87406322849</v>
      </c>
      <c r="H20" s="26" t="str">
        <f>_xlfn.XLOOKUP(G20,UpKeepData[Asset Tag (UpKeep)],UpKeepData[Serial Number (UpKeep)],"undef",0)</f>
        <v>AERB/02A/574</v>
      </c>
      <c r="I20" s="9"/>
      <c r="J20" s="3" t="s">
        <v>3</v>
      </c>
      <c r="K20" s="5" t="s">
        <v>34</v>
      </c>
      <c r="L20" s="5" t="s">
        <v>34</v>
      </c>
      <c r="M20" s="6" t="s">
        <v>6</v>
      </c>
    </row>
    <row r="21" spans="1:13" ht="16" x14ac:dyDescent="0.2">
      <c r="A21" s="16">
        <v>22</v>
      </c>
      <c r="C21" s="2" t="s">
        <v>46</v>
      </c>
      <c r="D21" s="2" t="s">
        <v>27</v>
      </c>
      <c r="E21" s="2" t="s">
        <v>47</v>
      </c>
      <c r="F21" s="18"/>
      <c r="G21" s="37" t="s">
        <v>222</v>
      </c>
      <c r="H21" s="40" t="str">
        <f>_xlfn.XLOOKUP(G21,UpKeepData[Asset Tag (UpKeep)],UpKeepData[Serial Number (UpKeep)],"undef",0)</f>
        <v>BT21130623</v>
      </c>
      <c r="I21" s="9" t="s">
        <v>265</v>
      </c>
      <c r="J21" s="3" t="s">
        <v>3</v>
      </c>
      <c r="K21" s="5" t="s">
        <v>10</v>
      </c>
      <c r="L21" s="5" t="s">
        <v>10</v>
      </c>
      <c r="M21" s="6" t="s">
        <v>11</v>
      </c>
    </row>
    <row r="22" spans="1:13" x14ac:dyDescent="0.2">
      <c r="A22" s="16">
        <v>24</v>
      </c>
      <c r="C22" s="2" t="s">
        <v>46</v>
      </c>
      <c r="D22" s="2" t="s">
        <v>30</v>
      </c>
      <c r="E22" s="2" t="s">
        <v>49</v>
      </c>
      <c r="F22" s="18"/>
      <c r="G22" s="37">
        <v>15468930796</v>
      </c>
      <c r="H22" s="26">
        <f>_xlfn.XLOOKUP(G22,UpKeepData[Asset Tag (UpKeep)],UpKeepData[Serial Number (UpKeep)],"undef",0)</f>
        <v>46604</v>
      </c>
      <c r="I22" s="9"/>
      <c r="J22" s="3" t="s">
        <v>3</v>
      </c>
      <c r="K22" s="5" t="s">
        <v>10</v>
      </c>
      <c r="L22" s="5" t="s">
        <v>10</v>
      </c>
      <c r="M22" s="6" t="s">
        <v>11</v>
      </c>
    </row>
    <row r="23" spans="1:13" ht="16" x14ac:dyDescent="0.2">
      <c r="A23" s="16">
        <v>25</v>
      </c>
      <c r="C23" s="2" t="s">
        <v>46</v>
      </c>
      <c r="D23" s="2" t="s">
        <v>32</v>
      </c>
      <c r="E23" s="2" t="s">
        <v>50</v>
      </c>
      <c r="F23" s="18">
        <v>862002</v>
      </c>
      <c r="G23" s="36">
        <v>87406322849</v>
      </c>
      <c r="H23" s="26" t="str">
        <f>_xlfn.XLOOKUP(G23,UpKeepData[Asset Tag (UpKeep)],UpKeepData[Serial Number (UpKeep)],"undef",0)</f>
        <v>AERB/02A/574</v>
      </c>
      <c r="I23" s="9" t="s">
        <v>250</v>
      </c>
      <c r="J23" s="3" t="s">
        <v>3</v>
      </c>
      <c r="K23" s="5" t="s">
        <v>34</v>
      </c>
      <c r="L23" s="5" t="s">
        <v>34</v>
      </c>
      <c r="M23" s="6" t="s">
        <v>6</v>
      </c>
    </row>
    <row r="24" spans="1:13" ht="48" x14ac:dyDescent="0.2">
      <c r="A24" s="16">
        <v>23</v>
      </c>
      <c r="C24" s="2" t="s">
        <v>46</v>
      </c>
      <c r="D24" s="2" t="s">
        <v>27</v>
      </c>
      <c r="E24" s="2" t="s">
        <v>48</v>
      </c>
      <c r="F24" s="18"/>
      <c r="G24" s="37" t="s">
        <v>95</v>
      </c>
      <c r="H24" s="26" t="str">
        <f>_xlfn.XLOOKUP(G24,UpKeepData[Asset Tag (UpKeep)],UpKeepData[Serial Number (UpKeep)],"undef",0)</f>
        <v>0388R5</v>
      </c>
      <c r="I24" s="9" t="s">
        <v>251</v>
      </c>
      <c r="J24" s="3" t="s">
        <v>3</v>
      </c>
      <c r="K24" s="5" t="s">
        <v>10</v>
      </c>
      <c r="L24" s="5" t="s">
        <v>10</v>
      </c>
      <c r="M24" s="6" t="s">
        <v>11</v>
      </c>
    </row>
    <row r="25" spans="1:13" x14ac:dyDescent="0.2">
      <c r="A25" s="16">
        <v>21</v>
      </c>
      <c r="C25" s="2" t="s">
        <v>42</v>
      </c>
      <c r="D25" s="2" t="s">
        <v>27</v>
      </c>
      <c r="E25" s="2" t="s">
        <v>39</v>
      </c>
      <c r="F25" s="18"/>
      <c r="G25" s="37" t="s">
        <v>215</v>
      </c>
      <c r="H25" s="26">
        <f>_xlfn.XLOOKUP(G25,UpKeepData[Asset Tag (UpKeep)],UpKeepData[Serial Number (UpKeep)],"undef",0)</f>
        <v>24170152</v>
      </c>
      <c r="I25" s="9"/>
      <c r="J25" s="3" t="s">
        <v>267</v>
      </c>
      <c r="K25" s="5" t="s">
        <v>10</v>
      </c>
      <c r="L25" s="5" t="s">
        <v>10</v>
      </c>
      <c r="M25" s="6" t="s">
        <v>11</v>
      </c>
    </row>
    <row r="26" spans="1:13" x14ac:dyDescent="0.2">
      <c r="A26" s="16">
        <v>21</v>
      </c>
      <c r="C26" s="2" t="s">
        <v>42</v>
      </c>
      <c r="D26" s="2" t="s">
        <v>27</v>
      </c>
      <c r="E26" s="2" t="s">
        <v>39</v>
      </c>
      <c r="F26" s="18"/>
      <c r="G26" s="37" t="s">
        <v>216</v>
      </c>
      <c r="H26" s="26">
        <f>_xlfn.XLOOKUP(G26,UpKeepData[Asset Tag (UpKeep)],UpKeepData[Serial Number (UpKeep)],"undef",0)</f>
        <v>24190536</v>
      </c>
      <c r="I26" s="9"/>
      <c r="J26" s="3" t="s">
        <v>268</v>
      </c>
      <c r="K26" s="5" t="s">
        <v>10</v>
      </c>
      <c r="L26" s="5" t="s">
        <v>10</v>
      </c>
      <c r="M26" s="6" t="s">
        <v>11</v>
      </c>
    </row>
    <row r="27" spans="1:13" ht="16" x14ac:dyDescent="0.2">
      <c r="A27" s="16">
        <v>20</v>
      </c>
      <c r="C27" s="2" t="s">
        <v>42</v>
      </c>
      <c r="D27" s="2" t="s">
        <v>43</v>
      </c>
      <c r="E27" s="2" t="s">
        <v>44</v>
      </c>
      <c r="F27" s="18"/>
      <c r="G27" s="37" t="s">
        <v>217</v>
      </c>
      <c r="H27" s="26" t="str">
        <f>_xlfn.XLOOKUP(G27,UpKeepData[Asset Tag (UpKeep)],UpKeepData[Serial Number (UpKeep)],"undef",0)</f>
        <v>NPTH20BP-2306-008</v>
      </c>
      <c r="I27" s="41" t="s">
        <v>252</v>
      </c>
      <c r="J27" s="3" t="s">
        <v>25</v>
      </c>
      <c r="K27" s="5" t="s">
        <v>10</v>
      </c>
      <c r="L27" s="5" t="s">
        <v>10</v>
      </c>
      <c r="M27" s="6" t="s">
        <v>45</v>
      </c>
    </row>
    <row r="28" spans="1:13" x14ac:dyDescent="0.2">
      <c r="A28" s="16">
        <v>16</v>
      </c>
      <c r="C28" s="2" t="s">
        <v>38</v>
      </c>
      <c r="D28" s="2" t="s">
        <v>27</v>
      </c>
      <c r="E28" s="2" t="s">
        <v>39</v>
      </c>
      <c r="F28" s="18"/>
      <c r="G28" s="37" t="s">
        <v>110</v>
      </c>
      <c r="H28" s="26">
        <f>_xlfn.XLOOKUP(G28,UpKeepData[Asset Tag (UpKeep)],UpKeepData[Serial Number (UpKeep)],"undef",0)</f>
        <v>24190572</v>
      </c>
      <c r="I28" s="9"/>
      <c r="J28" s="3" t="s">
        <v>3</v>
      </c>
      <c r="K28" s="5" t="s">
        <v>10</v>
      </c>
      <c r="L28" s="5" t="s">
        <v>10</v>
      </c>
      <c r="M28" s="6" t="s">
        <v>11</v>
      </c>
    </row>
    <row r="29" spans="1:13" x14ac:dyDescent="0.2">
      <c r="A29" s="16">
        <v>17</v>
      </c>
      <c r="C29" s="2" t="s">
        <v>38</v>
      </c>
      <c r="D29" s="2" t="s">
        <v>27</v>
      </c>
      <c r="E29" s="2" t="s">
        <v>37</v>
      </c>
      <c r="F29" s="18"/>
      <c r="G29" s="37" t="s">
        <v>111</v>
      </c>
      <c r="H29" s="26" t="str">
        <f>_xlfn.XLOOKUP(G29,UpKeepData[Asset Tag (UpKeep)],UpKeepData[Serial Number (UpKeep)],"undef",0)</f>
        <v>WK0VN1</v>
      </c>
      <c r="I29" s="9"/>
      <c r="J29" s="3" t="s">
        <v>3</v>
      </c>
      <c r="K29" s="5" t="s">
        <v>10</v>
      </c>
      <c r="L29" s="5" t="s">
        <v>10</v>
      </c>
      <c r="M29" s="6" t="s">
        <v>11</v>
      </c>
    </row>
    <row r="30" spans="1:13" x14ac:dyDescent="0.2">
      <c r="A30" s="16">
        <v>18</v>
      </c>
      <c r="C30" s="2" t="s">
        <v>38</v>
      </c>
      <c r="D30" s="2" t="s">
        <v>40</v>
      </c>
      <c r="E30" s="2" t="s">
        <v>41</v>
      </c>
      <c r="F30" s="18"/>
      <c r="G30" s="37">
        <v>98863463053</v>
      </c>
      <c r="H30" s="26">
        <f>_xlfn.XLOOKUP(G30,UpKeepData[Asset Tag (UpKeep)],UpKeepData[Serial Number (UpKeep)],"undef",0)</f>
        <v>42837</v>
      </c>
      <c r="I30" s="9"/>
      <c r="J30" s="3" t="s">
        <v>3</v>
      </c>
      <c r="K30" s="5" t="s">
        <v>34</v>
      </c>
      <c r="L30" s="5" t="s">
        <v>10</v>
      </c>
      <c r="M30" s="6" t="s">
        <v>6</v>
      </c>
    </row>
    <row r="31" spans="1:13" ht="16" x14ac:dyDescent="0.2">
      <c r="A31" s="16">
        <v>19</v>
      </c>
      <c r="C31" s="2" t="s">
        <v>38</v>
      </c>
      <c r="D31" s="2" t="s">
        <v>32</v>
      </c>
      <c r="E31" s="2" t="s">
        <v>33</v>
      </c>
      <c r="F31" s="18"/>
      <c r="G31" s="39" t="s">
        <v>253</v>
      </c>
      <c r="H31" s="26" t="str">
        <f>_xlfn.XLOOKUP(G31,UpKeepData[Asset Tag (UpKeep)],UpKeepData[Serial Number (UpKeep)],"undef",0)</f>
        <v>32343</v>
      </c>
      <c r="I31" s="9"/>
      <c r="J31" s="3" t="s">
        <v>3</v>
      </c>
      <c r="K31" s="5" t="s">
        <v>34</v>
      </c>
      <c r="L31" s="5" t="s">
        <v>34</v>
      </c>
      <c r="M31" s="6" t="s">
        <v>6</v>
      </c>
    </row>
    <row r="32" spans="1:13" x14ac:dyDescent="0.2">
      <c r="A32" s="16">
        <v>15</v>
      </c>
      <c r="C32" s="2" t="s">
        <v>35</v>
      </c>
      <c r="D32" s="2" t="s">
        <v>27</v>
      </c>
      <c r="E32" s="2" t="s">
        <v>37</v>
      </c>
      <c r="F32" s="18"/>
      <c r="G32" s="27" t="s">
        <v>245</v>
      </c>
      <c r="H32" s="26" t="str">
        <f>_xlfn.XLOOKUP(G32,UpKeepData[Asset Tag (UpKeep)],UpKeepData[Serial Number (UpKeep)],"undef",0)</f>
        <v>03X570</v>
      </c>
      <c r="I32" s="9"/>
      <c r="J32" s="3" t="s">
        <v>3</v>
      </c>
      <c r="K32" s="5" t="s">
        <v>10</v>
      </c>
      <c r="L32" s="5" t="s">
        <v>10</v>
      </c>
      <c r="M32" s="6" t="s">
        <v>11</v>
      </c>
    </row>
    <row r="33" spans="1:13" x14ac:dyDescent="0.2">
      <c r="A33" s="16">
        <v>14</v>
      </c>
      <c r="C33" s="2" t="s">
        <v>35</v>
      </c>
      <c r="D33" s="2" t="s">
        <v>30</v>
      </c>
      <c r="E33" s="2" t="s">
        <v>36</v>
      </c>
      <c r="F33" s="18"/>
      <c r="G33" s="27" t="s">
        <v>236</v>
      </c>
      <c r="H33" s="26" t="str">
        <f>_xlfn.XLOOKUP(G33,UpKeepData[Asset Tag (UpKeep)],UpKeepData[Serial Number (UpKeep)],"undef",0)</f>
        <v>CMK2104</v>
      </c>
      <c r="I33" s="9"/>
      <c r="J33" s="3" t="s">
        <v>3</v>
      </c>
      <c r="K33" s="5" t="s">
        <v>10</v>
      </c>
      <c r="L33" s="5" t="s">
        <v>10</v>
      </c>
      <c r="M33" s="6" t="s">
        <v>11</v>
      </c>
    </row>
    <row r="34" spans="1:13" x14ac:dyDescent="0.2">
      <c r="A34" s="16">
        <v>13</v>
      </c>
      <c r="C34" s="2" t="s">
        <v>35</v>
      </c>
      <c r="D34" s="2" t="s">
        <v>32</v>
      </c>
      <c r="E34" s="2" t="s">
        <v>33</v>
      </c>
      <c r="F34" s="18"/>
      <c r="G34" s="27" t="s">
        <v>247</v>
      </c>
      <c r="H34" s="26" t="str">
        <f>_xlfn.XLOOKUP(G34,UpKeepData[Asset Tag (UpKeep)],UpKeepData[Serial Number (UpKeep)],"undef",0)</f>
        <v>32344</v>
      </c>
      <c r="I34" s="9"/>
      <c r="J34" s="3" t="s">
        <v>3</v>
      </c>
      <c r="K34" s="5" t="s">
        <v>34</v>
      </c>
      <c r="L34" s="5" t="s">
        <v>34</v>
      </c>
      <c r="M34" s="6" t="s">
        <v>6</v>
      </c>
    </row>
    <row r="35" spans="1:13" ht="16" x14ac:dyDescent="0.2">
      <c r="A35" s="16">
        <v>8</v>
      </c>
      <c r="C35" s="2" t="s">
        <v>24</v>
      </c>
      <c r="D35" s="2" t="s">
        <v>18</v>
      </c>
      <c r="E35" s="2" t="s">
        <v>19</v>
      </c>
      <c r="F35" s="18"/>
      <c r="G35" s="25"/>
      <c r="H35" s="26" t="str">
        <f>_xlfn.XLOOKUP(G35,UpKeepData[Asset Tag (UpKeep)],UpKeepData[Serial Number (UpKeep)],"undef",0)</f>
        <v>undef</v>
      </c>
      <c r="I35" s="9" t="s">
        <v>20</v>
      </c>
      <c r="J35" s="3" t="s">
        <v>267</v>
      </c>
      <c r="K35" s="5" t="s">
        <v>10</v>
      </c>
      <c r="L35" s="5" t="s">
        <v>10</v>
      </c>
      <c r="M35" s="6" t="s">
        <v>11</v>
      </c>
    </row>
    <row r="36" spans="1:13" ht="16" x14ac:dyDescent="0.2">
      <c r="A36" s="16">
        <v>8</v>
      </c>
      <c r="C36" s="2" t="s">
        <v>24</v>
      </c>
      <c r="D36" s="2" t="s">
        <v>18</v>
      </c>
      <c r="E36" s="2" t="s">
        <v>19</v>
      </c>
      <c r="F36" s="18"/>
      <c r="G36" s="25"/>
      <c r="H36" s="26" t="str">
        <f>_xlfn.XLOOKUP(G36,UpKeepData[Asset Tag (UpKeep)],UpKeepData[Serial Number (UpKeep)],"undef",0)</f>
        <v>undef</v>
      </c>
      <c r="I36" s="9" t="s">
        <v>20</v>
      </c>
      <c r="J36" s="3" t="s">
        <v>268</v>
      </c>
      <c r="K36" s="5" t="s">
        <v>10</v>
      </c>
      <c r="L36" s="5" t="s">
        <v>10</v>
      </c>
      <c r="M36" s="6" t="s">
        <v>11</v>
      </c>
    </row>
    <row r="37" spans="1:13" x14ac:dyDescent="0.2">
      <c r="A37" s="16">
        <v>10</v>
      </c>
      <c r="C37" s="2" t="s">
        <v>26</v>
      </c>
      <c r="D37" s="2" t="s">
        <v>30</v>
      </c>
      <c r="E37" s="2" t="s">
        <v>31</v>
      </c>
      <c r="F37" s="18"/>
      <c r="G37" s="27" t="s">
        <v>183</v>
      </c>
      <c r="H37" s="26" t="str">
        <f>_xlfn.XLOOKUP(G37,UpKeepData[Asset Tag (UpKeep)],UpKeepData[Serial Number (UpKeep)],"undef",0)</f>
        <v>XDRH-6216</v>
      </c>
      <c r="I37" s="9"/>
      <c r="J37" s="3" t="s">
        <v>3</v>
      </c>
      <c r="K37" s="5" t="s">
        <v>10</v>
      </c>
      <c r="L37" s="5" t="s">
        <v>10</v>
      </c>
      <c r="M37" s="6" t="s">
        <v>11</v>
      </c>
    </row>
    <row r="38" spans="1:13" x14ac:dyDescent="0.2">
      <c r="A38" s="16">
        <v>11</v>
      </c>
      <c r="C38" s="2" t="s">
        <v>26</v>
      </c>
      <c r="D38" s="2" t="s">
        <v>32</v>
      </c>
      <c r="E38" s="2" t="s">
        <v>33</v>
      </c>
      <c r="F38" s="18"/>
      <c r="G38" s="27" t="s">
        <v>199</v>
      </c>
      <c r="H38" s="26" t="str">
        <f>_xlfn.XLOOKUP(G38,UpKeepData[Asset Tag (UpKeep)],UpKeepData[Serial Number (UpKeep)],"undef",0)</f>
        <v>32831</v>
      </c>
      <c r="I38" s="9"/>
      <c r="J38" s="3" t="s">
        <v>3</v>
      </c>
      <c r="K38" s="5" t="s">
        <v>34</v>
      </c>
      <c r="L38" s="5" t="s">
        <v>34</v>
      </c>
      <c r="M38" s="6" t="s">
        <v>6</v>
      </c>
    </row>
    <row r="39" spans="1:13" x14ac:dyDescent="0.2">
      <c r="A39" s="16">
        <v>9</v>
      </c>
      <c r="C39" s="2" t="s">
        <v>26</v>
      </c>
      <c r="D39" s="2" t="s">
        <v>27</v>
      </c>
      <c r="E39" s="2" t="s">
        <v>28</v>
      </c>
      <c r="F39" s="18"/>
      <c r="G39" s="27" t="s">
        <v>171</v>
      </c>
      <c r="H39" s="26" t="str">
        <f>_xlfn.XLOOKUP(G39,UpKeepData[Asset Tag (UpKeep)],UpKeepData[Serial Number (UpKeep)],"undef",0)</f>
        <v>031XRH</v>
      </c>
      <c r="I39" s="9"/>
      <c r="J39" s="3" t="s">
        <v>3</v>
      </c>
      <c r="K39" s="5" t="s">
        <v>10</v>
      </c>
      <c r="L39" s="5" t="s">
        <v>10</v>
      </c>
      <c r="M39" s="6" t="s">
        <v>29</v>
      </c>
    </row>
    <row r="40" spans="1:13" ht="32" x14ac:dyDescent="0.2">
      <c r="A40" s="16">
        <v>12</v>
      </c>
      <c r="C40" s="2" t="s">
        <v>26</v>
      </c>
      <c r="D40" s="2" t="s">
        <v>27</v>
      </c>
      <c r="E40" s="2" t="s">
        <v>28</v>
      </c>
      <c r="F40" s="18"/>
      <c r="G40" s="25"/>
      <c r="H40" s="26" t="str">
        <f>_xlfn.XLOOKUP(G40,UpKeepData[Asset Tag (UpKeep)],UpKeepData[Serial Number (UpKeep)],"undef",0)</f>
        <v>undef</v>
      </c>
      <c r="I40" s="9" t="s">
        <v>180</v>
      </c>
      <c r="J40" s="3" t="s">
        <v>3</v>
      </c>
      <c r="K40" s="5" t="s">
        <v>10</v>
      </c>
      <c r="L40" s="5" t="s">
        <v>10</v>
      </c>
      <c r="M40" s="6" t="s">
        <v>11</v>
      </c>
    </row>
    <row r="41" spans="1:13" x14ac:dyDescent="0.2">
      <c r="C41" s="2"/>
      <c r="D41" s="2"/>
      <c r="I41" s="9"/>
      <c r="J41" s="3"/>
      <c r="K41" s="5"/>
      <c r="L41" s="5"/>
      <c r="M41" s="6"/>
    </row>
    <row r="42" spans="1:13" x14ac:dyDescent="0.2">
      <c r="C42" s="2"/>
      <c r="D42" s="2"/>
      <c r="I42" s="9"/>
      <c r="J42" s="3"/>
      <c r="K42" s="5"/>
      <c r="L42" s="5"/>
      <c r="M42" s="6"/>
    </row>
    <row r="43" spans="1:13" x14ac:dyDescent="0.2">
      <c r="C43" s="2"/>
      <c r="D43" s="2"/>
      <c r="I43" s="9"/>
      <c r="J43" s="3"/>
      <c r="K43" s="5"/>
      <c r="L43" s="5"/>
      <c r="M43" s="6"/>
    </row>
    <row r="44" spans="1:13" x14ac:dyDescent="0.2">
      <c r="C44" s="2"/>
      <c r="D44" s="2"/>
      <c r="E44" s="2"/>
      <c r="F44" s="18"/>
      <c r="G44" s="25"/>
      <c r="H44" s="25"/>
      <c r="I44" s="9"/>
      <c r="J44" s="3"/>
      <c r="K44" s="5"/>
      <c r="L44" s="5"/>
      <c r="M44" s="6"/>
    </row>
    <row r="45" spans="1:13" x14ac:dyDescent="0.2">
      <c r="C45" s="2"/>
      <c r="D45" s="2"/>
      <c r="E45" s="2"/>
      <c r="F45" s="18"/>
      <c r="G45" s="25"/>
      <c r="H45" s="25"/>
      <c r="I45" s="9"/>
      <c r="J45" s="3"/>
      <c r="K45" s="5"/>
      <c r="L45" s="5"/>
      <c r="M45" s="6"/>
    </row>
    <row r="46" spans="1:13" x14ac:dyDescent="0.2">
      <c r="C46" s="2"/>
      <c r="D46" s="2"/>
      <c r="E46" s="2"/>
      <c r="F46" s="18"/>
      <c r="G46" s="25"/>
      <c r="H46" s="25"/>
      <c r="I46" s="9"/>
      <c r="J46" s="3"/>
      <c r="K46" s="5"/>
      <c r="L46" s="5"/>
      <c r="M46" s="6"/>
    </row>
    <row r="47" spans="1:13" x14ac:dyDescent="0.2">
      <c r="C47" s="2"/>
      <c r="D47" s="2"/>
      <c r="E47" s="2"/>
      <c r="F47" s="18"/>
      <c r="G47" s="25"/>
      <c r="H47" s="25"/>
      <c r="I47" s="9"/>
      <c r="J47" s="3"/>
      <c r="K47" s="5"/>
      <c r="L47" s="5"/>
      <c r="M47" s="6"/>
    </row>
  </sheetData>
  <sortState xmlns:xlrd2="http://schemas.microsoft.com/office/spreadsheetml/2017/richdata2" ref="A2:M40">
    <sortCondition ref="C2:C40"/>
    <sortCondition ref="E2:E40"/>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FFFE-87EF-B04A-B77C-62C1627A40EB}">
  <dimension ref="A1:Y50"/>
  <sheetViews>
    <sheetView topLeftCell="A19" zoomScale="120" zoomScaleNormal="120" workbookViewId="0">
      <selection activeCell="I12" sqref="I12"/>
    </sheetView>
    <sheetView topLeftCell="A2" workbookViewId="1">
      <selection activeCell="L2" sqref="L2"/>
    </sheetView>
  </sheetViews>
  <sheetFormatPr baseColWidth="10" defaultRowHeight="16" x14ac:dyDescent="0.2"/>
  <cols>
    <col min="1" max="1" width="20" style="22" customWidth="1"/>
    <col min="2" max="2" width="31" style="1" customWidth="1"/>
    <col min="3" max="3" width="22.6640625" style="1" hidden="1" customWidth="1"/>
    <col min="4" max="4" width="14" style="1" hidden="1" customWidth="1"/>
    <col min="5" max="5" width="14.5" style="1" hidden="1" customWidth="1"/>
    <col min="6" max="6" width="16.83203125" style="1" hidden="1" customWidth="1"/>
    <col min="7" max="7" width="20.5" style="1" hidden="1" customWidth="1"/>
    <col min="8" max="8" width="0" hidden="1" customWidth="1"/>
    <col min="9" max="9" width="30" style="1" customWidth="1"/>
    <col min="10" max="10" width="22.6640625" style="14" customWidth="1"/>
    <col min="11" max="11" width="20" style="1" customWidth="1"/>
    <col min="12" max="12" width="19.6640625" style="14" customWidth="1"/>
    <col min="13" max="14" width="19" style="14" customWidth="1"/>
    <col min="15" max="15" width="24.6640625" style="14" customWidth="1"/>
    <col min="16" max="16" width="16.33203125" style="1" customWidth="1"/>
    <col min="17" max="17" width="19.6640625" style="1" customWidth="1"/>
    <col min="18" max="18" width="23.33203125" style="1" customWidth="1"/>
    <col min="19" max="19" width="10.83203125" style="1"/>
    <col min="20" max="20" width="11" style="1" bestFit="1" customWidth="1"/>
    <col min="21" max="21" width="10.83203125" style="1"/>
    <col min="22" max="22" width="12.5" style="1" bestFit="1" customWidth="1"/>
    <col min="23" max="24" width="10.83203125" style="1"/>
    <col min="25" max="25" width="11" style="1" bestFit="1" customWidth="1"/>
    <col min="26" max="26" width="27.83203125" style="1" customWidth="1"/>
    <col min="27" max="16384" width="10.83203125" style="1"/>
  </cols>
  <sheetData>
    <row r="1" spans="1:25" ht="15" x14ac:dyDescent="0.2">
      <c r="A1" s="20" t="s">
        <v>126</v>
      </c>
      <c r="B1" s="12" t="s">
        <v>160</v>
      </c>
      <c r="C1" s="12" t="s">
        <v>142</v>
      </c>
      <c r="D1" s="12" t="s">
        <v>143</v>
      </c>
      <c r="E1" s="12" t="s">
        <v>154</v>
      </c>
      <c r="F1" s="12" t="s">
        <v>260</v>
      </c>
      <c r="G1" s="12" t="s">
        <v>163</v>
      </c>
      <c r="H1" s="24" t="s">
        <v>264</v>
      </c>
      <c r="I1" s="12" t="s">
        <v>127</v>
      </c>
      <c r="J1" s="12" t="s">
        <v>164</v>
      </c>
      <c r="K1" s="13" t="s">
        <v>128</v>
      </c>
      <c r="L1" s="13" t="s">
        <v>130</v>
      </c>
      <c r="M1" s="13" t="s">
        <v>258</v>
      </c>
      <c r="N1" s="12" t="s">
        <v>131</v>
      </c>
      <c r="O1" s="12" t="s">
        <v>132</v>
      </c>
      <c r="P1" s="12" t="s">
        <v>133</v>
      </c>
      <c r="Q1" s="12" t="s">
        <v>134</v>
      </c>
      <c r="R1" s="12" t="s">
        <v>135</v>
      </c>
      <c r="S1" s="12" t="s">
        <v>136</v>
      </c>
      <c r="T1" s="12" t="s">
        <v>137</v>
      </c>
      <c r="U1" s="12" t="s">
        <v>138</v>
      </c>
      <c r="V1" s="12" t="s">
        <v>139</v>
      </c>
      <c r="W1" s="12" t="s">
        <v>140</v>
      </c>
      <c r="X1" s="12" t="s">
        <v>263</v>
      </c>
      <c r="Y1" s="12" t="s">
        <v>232</v>
      </c>
    </row>
    <row r="2" spans="1:25" ht="15" x14ac:dyDescent="0.2">
      <c r="A2" s="21" t="s">
        <v>253</v>
      </c>
      <c r="B2" s="1" t="str">
        <f>_xlfn.CONCAT("LS - ",D2," - ",E2)</f>
        <v>LS - NKC - X-ray</v>
      </c>
      <c r="C2" s="1" t="s">
        <v>146</v>
      </c>
      <c r="D2" s="1" t="s">
        <v>152</v>
      </c>
      <c r="E2" s="1" t="s">
        <v>156</v>
      </c>
      <c r="F2" s="1" t="b">
        <f>G2&lt;&gt;B2</f>
        <v>0</v>
      </c>
      <c r="G2" s="1" t="s">
        <v>115</v>
      </c>
      <c r="H2" s="1"/>
      <c r="I2" s="1" t="s">
        <v>254</v>
      </c>
      <c r="J2" s="1"/>
      <c r="K2" s="1">
        <v>8620002</v>
      </c>
      <c r="L2" s="14" t="s">
        <v>255</v>
      </c>
      <c r="M2" s="14" t="s">
        <v>255</v>
      </c>
      <c r="N2" s="1" t="s">
        <v>156</v>
      </c>
      <c r="O2" s="14" t="s">
        <v>69</v>
      </c>
      <c r="P2" s="14"/>
      <c r="Q2" s="14"/>
    </row>
    <row r="3" spans="1:25" ht="15" x14ac:dyDescent="0.2">
      <c r="A3" s="22" t="s">
        <v>247</v>
      </c>
      <c r="B3" s="1" t="str">
        <f>_xlfn.CONCAT("LS - ",D3," - ",E5)</f>
        <v>LS - NHC - X-ray</v>
      </c>
      <c r="C3" s="1" t="s">
        <v>243</v>
      </c>
      <c r="D3" s="1" t="s">
        <v>242</v>
      </c>
      <c r="E3" s="1" t="s">
        <v>156</v>
      </c>
      <c r="F3" s="1" t="b">
        <f>G3&lt;&gt;B3</f>
        <v>0</v>
      </c>
      <c r="G3" s="1" t="s">
        <v>235</v>
      </c>
      <c r="H3" s="1"/>
      <c r="I3" s="1" t="s">
        <v>196</v>
      </c>
      <c r="J3" s="1" t="s">
        <v>182</v>
      </c>
      <c r="K3" s="14">
        <v>5510</v>
      </c>
      <c r="L3" s="14" t="s">
        <v>248</v>
      </c>
      <c r="M3" s="14" t="s">
        <v>248</v>
      </c>
      <c r="N3" s="1" t="s">
        <v>86</v>
      </c>
      <c r="O3" s="14" t="s">
        <v>69</v>
      </c>
      <c r="P3" s="14"/>
      <c r="Q3" s="14"/>
    </row>
    <row r="4" spans="1:25" ht="15" x14ac:dyDescent="0.2">
      <c r="A4" s="22" t="s">
        <v>195</v>
      </c>
      <c r="B4" s="1" t="str">
        <f>_xlfn.CONCAT("LS - ",D4," - ",E4)</f>
        <v>LS - BBC - X-ray</v>
      </c>
      <c r="C4" s="1" t="s">
        <v>141</v>
      </c>
      <c r="D4" s="1" t="s">
        <v>148</v>
      </c>
      <c r="E4" s="1" t="s">
        <v>156</v>
      </c>
      <c r="F4" s="1" t="b">
        <f>G4&lt;&gt;B4</f>
        <v>0</v>
      </c>
      <c r="G4" s="1" t="s">
        <v>81</v>
      </c>
      <c r="H4" s="1"/>
      <c r="I4" s="1" t="s">
        <v>196</v>
      </c>
      <c r="J4" s="1" t="s">
        <v>181</v>
      </c>
      <c r="K4" s="14">
        <v>5510</v>
      </c>
      <c r="L4" s="14" t="s">
        <v>197</v>
      </c>
      <c r="M4" s="14" t="s">
        <v>197</v>
      </c>
      <c r="N4" s="1" t="s">
        <v>86</v>
      </c>
      <c r="O4" s="1" t="s">
        <v>100</v>
      </c>
      <c r="R4" s="15"/>
    </row>
    <row r="5" spans="1:25" ht="15" x14ac:dyDescent="0.2">
      <c r="A5" s="22" t="s">
        <v>199</v>
      </c>
      <c r="B5" s="1" t="str">
        <f>_xlfn.CONCAT("LS - ",D5," - ",E5)</f>
        <v>LS - TNC - X-ray</v>
      </c>
      <c r="C5" s="1" t="s">
        <v>178</v>
      </c>
      <c r="D5" s="1" t="s">
        <v>179</v>
      </c>
      <c r="E5" s="1" t="s">
        <v>156</v>
      </c>
      <c r="F5" s="1" t="b">
        <f>G5&lt;&gt;B5</f>
        <v>0</v>
      </c>
      <c r="G5" s="1" t="s">
        <v>175</v>
      </c>
      <c r="H5" s="1"/>
      <c r="I5" s="1" t="s">
        <v>176</v>
      </c>
      <c r="J5" s="1" t="s">
        <v>181</v>
      </c>
      <c r="K5" s="14">
        <v>5510</v>
      </c>
      <c r="L5" s="14" t="s">
        <v>177</v>
      </c>
      <c r="M5" s="14" t="s">
        <v>177</v>
      </c>
      <c r="N5" s="1"/>
      <c r="O5" s="1" t="s">
        <v>69</v>
      </c>
      <c r="Q5" s="14"/>
    </row>
    <row r="6" spans="1:25" ht="15" x14ac:dyDescent="0.2">
      <c r="A6" s="22">
        <v>98863463053</v>
      </c>
      <c r="B6" s="1" t="str">
        <f>_xlfn.CONCAT("LS - ",D6," - ",E6)</f>
        <v>LS - NKC - X-ray</v>
      </c>
      <c r="C6" s="1" t="s">
        <v>146</v>
      </c>
      <c r="D6" s="1" t="s">
        <v>152</v>
      </c>
      <c r="E6" s="1" t="s">
        <v>156</v>
      </c>
      <c r="F6" s="1" t="b">
        <f>G6&lt;&gt;B6</f>
        <v>0</v>
      </c>
      <c r="G6" s="1" t="s">
        <v>115</v>
      </c>
      <c r="H6" s="1"/>
      <c r="I6" s="1" t="s">
        <v>116</v>
      </c>
      <c r="J6" s="1" t="s">
        <v>168</v>
      </c>
      <c r="K6" s="14" t="s">
        <v>117</v>
      </c>
      <c r="L6" s="14">
        <v>42837</v>
      </c>
      <c r="M6" s="14">
        <v>42837</v>
      </c>
      <c r="N6" s="1"/>
      <c r="O6" s="1" t="s">
        <v>69</v>
      </c>
      <c r="R6" s="15">
        <v>45958</v>
      </c>
    </row>
    <row r="7" spans="1:25" ht="15" x14ac:dyDescent="0.2">
      <c r="A7" s="22" t="s">
        <v>218</v>
      </c>
      <c r="B7" s="1" t="str">
        <f>_xlfn.CONCAT("LS - ",D7," - ",E7)</f>
        <v>LS - MLC - X-ray</v>
      </c>
      <c r="C7" s="1" t="s">
        <v>145</v>
      </c>
      <c r="D7" s="1" t="s">
        <v>150</v>
      </c>
      <c r="E7" s="1" t="s">
        <v>156</v>
      </c>
      <c r="F7" s="1" t="b">
        <f>G7&lt;&gt;B7</f>
        <v>0</v>
      </c>
      <c r="G7" s="1" t="s">
        <v>101</v>
      </c>
      <c r="H7" s="1"/>
      <c r="I7" s="1" t="s">
        <v>102</v>
      </c>
      <c r="J7" s="1" t="s">
        <v>168</v>
      </c>
      <c r="K7" s="14" t="s">
        <v>68</v>
      </c>
      <c r="L7" s="14">
        <v>46604</v>
      </c>
      <c r="M7" s="14">
        <v>46604</v>
      </c>
      <c r="N7" s="1"/>
      <c r="O7" s="1" t="s">
        <v>69</v>
      </c>
      <c r="R7" s="15">
        <v>45965</v>
      </c>
    </row>
    <row r="8" spans="1:25" ht="15" x14ac:dyDescent="0.2">
      <c r="A8" s="22">
        <v>15468930796</v>
      </c>
      <c r="B8" s="1" t="str">
        <f>_xlfn.CONCAT("LS - ",D8," - ",E8)</f>
        <v>LS - MHC - X-ray</v>
      </c>
      <c r="C8" s="1" t="s">
        <v>144</v>
      </c>
      <c r="D8" s="1" t="s">
        <v>159</v>
      </c>
      <c r="E8" s="1" t="s">
        <v>156</v>
      </c>
      <c r="F8" s="1" t="b">
        <f>G8&lt;&gt;B8</f>
        <v>1</v>
      </c>
      <c r="G8" s="1" t="s">
        <v>70</v>
      </c>
      <c r="H8" s="1"/>
      <c r="I8" s="1" t="s">
        <v>67</v>
      </c>
      <c r="J8" s="52" t="s">
        <v>168</v>
      </c>
      <c r="K8" s="14" t="s">
        <v>68</v>
      </c>
      <c r="L8" s="14">
        <v>46604</v>
      </c>
      <c r="M8" s="14">
        <v>46604</v>
      </c>
      <c r="N8" s="1"/>
      <c r="O8" s="1" t="s">
        <v>69</v>
      </c>
    </row>
    <row r="9" spans="1:25" ht="15" x14ac:dyDescent="0.2">
      <c r="A9" s="22" t="s">
        <v>233</v>
      </c>
      <c r="B9" s="1" t="str">
        <f>_xlfn.CONCAT("LS - ",D9," - ",E9)</f>
        <v>LS - MMC - X-ray</v>
      </c>
      <c r="C9" s="1" t="s">
        <v>144</v>
      </c>
      <c r="D9" s="1" t="s">
        <v>151</v>
      </c>
      <c r="E9" s="1" t="s">
        <v>156</v>
      </c>
      <c r="F9" s="1" t="b">
        <f>G9&lt;&gt;B9</f>
        <v>1</v>
      </c>
      <c r="G9" s="1" t="s">
        <v>108</v>
      </c>
      <c r="H9" s="1"/>
      <c r="I9" s="1" t="s">
        <v>102</v>
      </c>
      <c r="J9" s="1" t="s">
        <v>168</v>
      </c>
      <c r="K9" s="14" t="s">
        <v>68</v>
      </c>
      <c r="L9" s="14">
        <v>46617</v>
      </c>
      <c r="M9" s="14">
        <v>46617</v>
      </c>
      <c r="N9" s="1"/>
      <c r="O9" s="1" t="s">
        <v>69</v>
      </c>
      <c r="R9" s="15">
        <v>45972</v>
      </c>
    </row>
    <row r="10" spans="1:25" ht="15" x14ac:dyDescent="0.2">
      <c r="A10" s="22" t="s">
        <v>215</v>
      </c>
      <c r="B10" s="1" t="str">
        <f>_xlfn.CONCAT("LS - ",D10," - ",E10)</f>
        <v>LS - MH - X-ray</v>
      </c>
      <c r="C10" s="1" t="s">
        <v>147</v>
      </c>
      <c r="D10" s="1" t="s">
        <v>158</v>
      </c>
      <c r="E10" s="1" t="s">
        <v>156</v>
      </c>
      <c r="F10" s="1" t="b">
        <f>G10&lt;&gt;B10</f>
        <v>1</v>
      </c>
      <c r="G10" s="1" t="s">
        <v>118</v>
      </c>
      <c r="H10" s="1"/>
      <c r="I10" s="1" t="s">
        <v>106</v>
      </c>
      <c r="J10" s="1" t="s">
        <v>165</v>
      </c>
      <c r="K10" s="14" t="s">
        <v>107</v>
      </c>
      <c r="L10" s="14">
        <v>24170152</v>
      </c>
      <c r="M10" s="14">
        <v>24170152</v>
      </c>
      <c r="N10" s="1"/>
      <c r="O10" s="1" t="s">
        <v>69</v>
      </c>
    </row>
    <row r="11" spans="1:25" ht="15" x14ac:dyDescent="0.2">
      <c r="A11" s="22" t="s">
        <v>105</v>
      </c>
      <c r="B11" s="1" t="str">
        <f>_xlfn.CONCAT("LS - ",D11," - ",E11)</f>
        <v>LS - MMC - Maternal and Child Health</v>
      </c>
      <c r="C11" s="1" t="s">
        <v>144</v>
      </c>
      <c r="D11" s="1" t="s">
        <v>151</v>
      </c>
      <c r="E11" s="1" t="s">
        <v>155</v>
      </c>
      <c r="F11" s="1" t="b">
        <f>G11&lt;&gt;B11</f>
        <v>1</v>
      </c>
      <c r="G11" s="1" t="s">
        <v>103</v>
      </c>
      <c r="H11" s="1" t="s">
        <v>259</v>
      </c>
      <c r="I11" s="1" t="s">
        <v>106</v>
      </c>
      <c r="J11" s="1" t="s">
        <v>165</v>
      </c>
      <c r="K11" s="14" t="s">
        <v>107</v>
      </c>
      <c r="L11" s="14">
        <v>24190239</v>
      </c>
      <c r="M11" s="14">
        <v>24190239</v>
      </c>
      <c r="N11" s="1"/>
      <c r="O11" s="1" t="s">
        <v>69</v>
      </c>
      <c r="Y11" s="1" t="s">
        <v>234</v>
      </c>
    </row>
    <row r="12" spans="1:25" ht="15" x14ac:dyDescent="0.2">
      <c r="A12" s="22" t="s">
        <v>214</v>
      </c>
      <c r="B12" s="1" t="str">
        <f>_xlfn.CONCAT("LS - ",D12," - ",E12)</f>
        <v>LS - LKC - Maternal and Child Health</v>
      </c>
      <c r="C12" s="1" t="s">
        <v>55</v>
      </c>
      <c r="D12" s="1" t="s">
        <v>207</v>
      </c>
      <c r="E12" s="1" t="s">
        <v>155</v>
      </c>
      <c r="F12" s="1" t="b">
        <f>G12&lt;&gt;B12</f>
        <v>0</v>
      </c>
      <c r="G12" s="1" t="s">
        <v>203</v>
      </c>
      <c r="H12" s="1"/>
      <c r="I12" s="1" t="s">
        <v>106</v>
      </c>
      <c r="J12" s="1" t="s">
        <v>165</v>
      </c>
      <c r="K12" s="14" t="s">
        <v>107</v>
      </c>
      <c r="L12" s="14" t="s">
        <v>208</v>
      </c>
      <c r="M12" s="14" t="s">
        <v>208</v>
      </c>
      <c r="N12" s="1"/>
      <c r="O12" s="1" t="s">
        <v>69</v>
      </c>
      <c r="P12" s="14"/>
      <c r="Q12" s="14"/>
    </row>
    <row r="13" spans="1:25" ht="15" x14ac:dyDescent="0.2">
      <c r="A13" s="22" t="s">
        <v>216</v>
      </c>
      <c r="B13" s="1" t="str">
        <f>_xlfn.CONCAT("LS - ",D13," - ",E13)</f>
        <v>LS - MH - X-ray</v>
      </c>
      <c r="C13" s="1" t="s">
        <v>147</v>
      </c>
      <c r="D13" s="1" t="s">
        <v>158</v>
      </c>
      <c r="E13" s="1" t="s">
        <v>156</v>
      </c>
      <c r="F13" s="1" t="b">
        <f>G13&lt;&gt;B13</f>
        <v>1</v>
      </c>
      <c r="G13" s="1" t="s">
        <v>118</v>
      </c>
      <c r="H13" s="1"/>
      <c r="I13" s="1" t="s">
        <v>119</v>
      </c>
      <c r="J13" s="1" t="s">
        <v>165</v>
      </c>
      <c r="K13" s="14" t="s">
        <v>107</v>
      </c>
      <c r="L13" s="14">
        <v>24190536</v>
      </c>
      <c r="M13" s="14">
        <v>24190536</v>
      </c>
      <c r="N13" s="1"/>
      <c r="O13" s="1" t="s">
        <v>69</v>
      </c>
    </row>
    <row r="14" spans="1:25" ht="15" x14ac:dyDescent="0.2">
      <c r="A14" s="22" t="s">
        <v>110</v>
      </c>
      <c r="B14" s="1" t="str">
        <f>_xlfn.CONCAT("LS - ",D14," - ",E14)</f>
        <v>LS - NKC - Maternal and Child Health</v>
      </c>
      <c r="C14" s="1" t="s">
        <v>146</v>
      </c>
      <c r="D14" s="1" t="s">
        <v>152</v>
      </c>
      <c r="E14" s="1" t="s">
        <v>155</v>
      </c>
      <c r="F14" s="1" t="b">
        <f>G14&lt;&gt;B14</f>
        <v>0</v>
      </c>
      <c r="G14" s="1" t="s">
        <v>109</v>
      </c>
      <c r="H14" s="1"/>
      <c r="I14" s="1" t="s">
        <v>106</v>
      </c>
      <c r="J14" s="1" t="s">
        <v>165</v>
      </c>
      <c r="K14" s="14" t="s">
        <v>107</v>
      </c>
      <c r="L14" s="14">
        <v>24190572</v>
      </c>
      <c r="M14" s="14">
        <v>24190572</v>
      </c>
      <c r="N14" s="1"/>
      <c r="O14" s="1" t="s">
        <v>69</v>
      </c>
    </row>
    <row r="15" spans="1:25" ht="15" x14ac:dyDescent="0.2">
      <c r="A15" s="22" t="s">
        <v>171</v>
      </c>
      <c r="B15" s="1" t="str">
        <f>_xlfn.CONCAT("LS - ",D15," - ",E15)</f>
        <v>LS - TNC - Maternal and Child Health</v>
      </c>
      <c r="C15" s="1" t="s">
        <v>178</v>
      </c>
      <c r="D15" s="1" t="s">
        <v>179</v>
      </c>
      <c r="E15" s="1" t="s">
        <v>155</v>
      </c>
      <c r="F15" s="1" t="b">
        <f>G15&lt;&gt;B15</f>
        <v>0</v>
      </c>
      <c r="G15" s="1" t="s">
        <v>170</v>
      </c>
      <c r="H15" s="1"/>
      <c r="I15" s="1" t="s">
        <v>172</v>
      </c>
      <c r="J15" s="1" t="s">
        <v>167</v>
      </c>
      <c r="K15" s="14" t="s">
        <v>173</v>
      </c>
      <c r="L15" s="14" t="s">
        <v>174</v>
      </c>
      <c r="M15" s="14" t="s">
        <v>174</v>
      </c>
      <c r="N15" s="1" t="s">
        <v>79</v>
      </c>
      <c r="O15" s="1" t="s">
        <v>69</v>
      </c>
      <c r="Q15" s="14"/>
      <c r="R15" s="15">
        <v>45993</v>
      </c>
    </row>
    <row r="16" spans="1:25" ht="15" x14ac:dyDescent="0.2">
      <c r="A16" s="22" t="s">
        <v>75</v>
      </c>
      <c r="B16" s="1" t="str">
        <f>_xlfn.CONCAT("LS - ",D16," - ",E16)</f>
        <v>LS - BBC - Maternal and Child Health</v>
      </c>
      <c r="C16" s="1" t="s">
        <v>141</v>
      </c>
      <c r="D16" s="1" t="s">
        <v>148</v>
      </c>
      <c r="E16" s="1" t="s">
        <v>155</v>
      </c>
      <c r="F16" s="1" t="b">
        <f>G16&lt;&gt;B16</f>
        <v>0</v>
      </c>
      <c r="G16" s="1" t="s">
        <v>71</v>
      </c>
      <c r="H16" s="1"/>
      <c r="I16" s="1" t="s">
        <v>76</v>
      </c>
      <c r="J16" s="1" t="s">
        <v>206</v>
      </c>
      <c r="K16" s="14" t="s">
        <v>77</v>
      </c>
      <c r="L16" s="14" t="s">
        <v>78</v>
      </c>
      <c r="M16" s="14" t="s">
        <v>78</v>
      </c>
      <c r="N16" s="1" t="s">
        <v>79</v>
      </c>
      <c r="O16" s="1" t="s">
        <v>69</v>
      </c>
      <c r="R16" s="15">
        <v>45967</v>
      </c>
    </row>
    <row r="17" spans="1:22" ht="15" x14ac:dyDescent="0.2">
      <c r="A17" s="22" t="s">
        <v>95</v>
      </c>
      <c r="B17" s="1" t="str">
        <f>_xlfn.CONCAT("LS - ",D17," - ",E17)</f>
        <v>LS - MLC - Maternal and Child Health</v>
      </c>
      <c r="C17" s="1" t="s">
        <v>145</v>
      </c>
      <c r="D17" s="1" t="s">
        <v>150</v>
      </c>
      <c r="E17" s="1" t="s">
        <v>155</v>
      </c>
      <c r="F17" s="1" t="b">
        <f>G17&lt;&gt;B17</f>
        <v>0</v>
      </c>
      <c r="G17" s="1" t="s">
        <v>93</v>
      </c>
      <c r="H17" s="1"/>
      <c r="I17" s="1" t="s">
        <v>96</v>
      </c>
      <c r="J17" s="1" t="s">
        <v>206</v>
      </c>
      <c r="K17" s="14" t="s">
        <v>80</v>
      </c>
      <c r="L17" s="14" t="s">
        <v>97</v>
      </c>
      <c r="M17" s="14" t="s">
        <v>97</v>
      </c>
      <c r="N17" s="1"/>
      <c r="O17" s="1" t="s">
        <v>69</v>
      </c>
      <c r="R17" s="15">
        <v>45965</v>
      </c>
      <c r="T17" s="1" t="s">
        <v>98</v>
      </c>
      <c r="U17" s="1" t="s">
        <v>99</v>
      </c>
      <c r="V17" s="1" t="s">
        <v>100</v>
      </c>
    </row>
    <row r="18" spans="1:22" ht="15" x14ac:dyDescent="0.2">
      <c r="A18" s="22" t="s">
        <v>204</v>
      </c>
      <c r="B18" s="1" t="str">
        <f>_xlfn.CONCAT("LS - ",D18," - ",E18)</f>
        <v>LS - LKC - Maternal and Child Health</v>
      </c>
      <c r="C18" s="1" t="s">
        <v>55</v>
      </c>
      <c r="D18" s="1" t="s">
        <v>207</v>
      </c>
      <c r="E18" s="1" t="s">
        <v>155</v>
      </c>
      <c r="F18" s="1" t="b">
        <f>G18&lt;&gt;B18</f>
        <v>0</v>
      </c>
      <c r="G18" s="1" t="s">
        <v>203</v>
      </c>
      <c r="H18" s="1"/>
      <c r="I18" s="1" t="s">
        <v>112</v>
      </c>
      <c r="J18" s="1" t="s">
        <v>206</v>
      </c>
      <c r="K18" s="14" t="s">
        <v>113</v>
      </c>
      <c r="L18" s="14" t="s">
        <v>205</v>
      </c>
      <c r="M18" s="14" t="s">
        <v>205</v>
      </c>
      <c r="N18" s="1" t="s">
        <v>79</v>
      </c>
      <c r="O18" s="1" t="s">
        <v>69</v>
      </c>
      <c r="P18" s="14"/>
      <c r="Q18" s="14"/>
      <c r="R18" s="15">
        <v>45974</v>
      </c>
    </row>
    <row r="19" spans="1:22" ht="15" x14ac:dyDescent="0.2">
      <c r="A19" s="22" t="s">
        <v>201</v>
      </c>
      <c r="B19" s="1" t="str">
        <f>_xlfn.CONCAT("LS - ",D19," - ",E19)</f>
        <v>LS - BH - X-ray</v>
      </c>
      <c r="C19" s="1" t="s">
        <v>153</v>
      </c>
      <c r="D19" s="1" t="s">
        <v>149</v>
      </c>
      <c r="E19" s="1" t="s">
        <v>156</v>
      </c>
      <c r="F19" s="1" t="b">
        <f>G19&lt;&gt;B19</f>
        <v>0</v>
      </c>
      <c r="G19" s="1" t="s">
        <v>89</v>
      </c>
      <c r="H19" s="1"/>
      <c r="I19" s="1" t="s">
        <v>90</v>
      </c>
      <c r="J19" s="1" t="s">
        <v>167</v>
      </c>
      <c r="K19" s="14" t="s">
        <v>91</v>
      </c>
      <c r="L19" s="14" t="s">
        <v>92</v>
      </c>
      <c r="M19" s="14" t="s">
        <v>92</v>
      </c>
      <c r="N19" s="1"/>
      <c r="O19" s="1"/>
    </row>
    <row r="20" spans="1:22" ht="15" x14ac:dyDescent="0.2">
      <c r="A20" s="22" t="s">
        <v>245</v>
      </c>
      <c r="B20" s="1" t="str">
        <f>_xlfn.CONCAT("LS - ",D20," - ",E20)</f>
        <v>LS - NHC - Maternal and Child Health</v>
      </c>
      <c r="C20" s="1" t="s">
        <v>243</v>
      </c>
      <c r="D20" s="1" t="s">
        <v>242</v>
      </c>
      <c r="E20" s="1" t="s">
        <v>155</v>
      </c>
      <c r="F20" s="1" t="b">
        <f>G20&lt;&gt;B20</f>
        <v>0</v>
      </c>
      <c r="G20" s="1" t="s">
        <v>244</v>
      </c>
      <c r="H20" s="1"/>
      <c r="I20" s="1" t="s">
        <v>112</v>
      </c>
      <c r="J20" s="1" t="s">
        <v>206</v>
      </c>
      <c r="K20" s="14" t="s">
        <v>113</v>
      </c>
      <c r="L20" s="14" t="s">
        <v>246</v>
      </c>
      <c r="M20" s="14" t="s">
        <v>246</v>
      </c>
      <c r="N20" s="1" t="s">
        <v>79</v>
      </c>
      <c r="O20" s="14" t="s">
        <v>69</v>
      </c>
      <c r="P20" s="14"/>
      <c r="Q20" s="14"/>
      <c r="R20" s="15">
        <v>45986</v>
      </c>
    </row>
    <row r="21" spans="1:22" ht="15" x14ac:dyDescent="0.2">
      <c r="A21" s="22" t="s">
        <v>223</v>
      </c>
      <c r="B21" s="1" t="str">
        <f>_xlfn.CONCAT("LS - ",D21," - ",E21)</f>
        <v>LS - BH - X-ray</v>
      </c>
      <c r="C21" s="1" t="s">
        <v>153</v>
      </c>
      <c r="D21" s="1" t="s">
        <v>149</v>
      </c>
      <c r="E21" s="1" t="s">
        <v>156</v>
      </c>
      <c r="F21" s="1" t="b">
        <f>G21&lt;&gt;B21</f>
        <v>0</v>
      </c>
      <c r="G21" s="1" t="s">
        <v>89</v>
      </c>
      <c r="H21" s="1"/>
      <c r="I21" s="1" t="s">
        <v>224</v>
      </c>
      <c r="J21" s="1" t="s">
        <v>227</v>
      </c>
      <c r="K21" s="14" t="s">
        <v>225</v>
      </c>
      <c r="L21" s="14" t="s">
        <v>226</v>
      </c>
      <c r="M21" s="14" t="s">
        <v>226</v>
      </c>
      <c r="N21" s="1" t="s">
        <v>86</v>
      </c>
      <c r="O21" s="1" t="s">
        <v>69</v>
      </c>
      <c r="P21" s="14"/>
      <c r="Q21" s="14"/>
      <c r="R21" s="15">
        <v>46141</v>
      </c>
    </row>
    <row r="22" spans="1:22" ht="15" x14ac:dyDescent="0.2">
      <c r="A22" s="22">
        <v>87406322849</v>
      </c>
      <c r="B22" s="1" t="str">
        <f>_xlfn.CONCAT("LS - ",D22," - ",E22)</f>
        <v>LS - MMC - X-ray</v>
      </c>
      <c r="C22" s="1" t="s">
        <v>144</v>
      </c>
      <c r="D22" s="1" t="s">
        <v>151</v>
      </c>
      <c r="E22" s="1" t="s">
        <v>156</v>
      </c>
      <c r="F22" s="1" t="b">
        <f>G22&lt;&gt;B22</f>
        <v>1</v>
      </c>
      <c r="G22" s="1" t="s">
        <v>108</v>
      </c>
      <c r="H22" s="1"/>
      <c r="I22" s="1" t="s">
        <v>230</v>
      </c>
      <c r="J22" s="1" t="s">
        <v>182</v>
      </c>
      <c r="K22" s="14">
        <v>8620002</v>
      </c>
      <c r="L22" s="14" t="s">
        <v>231</v>
      </c>
      <c r="M22" s="14" t="s">
        <v>231</v>
      </c>
      <c r="N22" s="1"/>
      <c r="O22" s="14" t="s">
        <v>100</v>
      </c>
      <c r="P22" s="14"/>
      <c r="Q22" s="14"/>
    </row>
    <row r="23" spans="1:22" ht="15" x14ac:dyDescent="0.2">
      <c r="A23" s="22" t="s">
        <v>220</v>
      </c>
      <c r="B23" s="1" t="str">
        <f>_xlfn.CONCAT("LS - ",D23," - ",E23)</f>
        <v>LS - LKC - X-ray</v>
      </c>
      <c r="C23" s="1" t="s">
        <v>55</v>
      </c>
      <c r="D23" s="1" t="s">
        <v>207</v>
      </c>
      <c r="E23" s="1" t="s">
        <v>156</v>
      </c>
      <c r="F23" s="1" t="b">
        <f>G23&lt;&gt;B23</f>
        <v>0</v>
      </c>
      <c r="G23" s="1" t="s">
        <v>209</v>
      </c>
      <c r="H23" s="1"/>
      <c r="I23" s="1" t="s">
        <v>196</v>
      </c>
      <c r="J23" s="1" t="s">
        <v>182</v>
      </c>
      <c r="K23" s="14">
        <v>5510</v>
      </c>
      <c r="L23" s="14" t="s">
        <v>221</v>
      </c>
      <c r="M23" s="14" t="s">
        <v>221</v>
      </c>
      <c r="N23" s="1" t="s">
        <v>86</v>
      </c>
      <c r="O23" s="1" t="s">
        <v>100</v>
      </c>
      <c r="P23" s="14"/>
      <c r="Q23" s="14"/>
    </row>
    <row r="24" spans="1:22" ht="15" x14ac:dyDescent="0.2">
      <c r="A24" s="22" t="s">
        <v>191</v>
      </c>
      <c r="B24" s="1" t="str">
        <f>_xlfn.CONCAT("LS - ",D24," - ",E24)</f>
        <v>LS - BH - X-ray</v>
      </c>
      <c r="C24" s="1" t="s">
        <v>153</v>
      </c>
      <c r="D24" s="1" t="s">
        <v>149</v>
      </c>
      <c r="E24" s="1" t="s">
        <v>156</v>
      </c>
      <c r="F24" s="1" t="b">
        <f>G24&lt;&gt;B24</f>
        <v>0</v>
      </c>
      <c r="G24" s="1" t="s">
        <v>89</v>
      </c>
      <c r="H24" s="1"/>
      <c r="I24" s="1" t="s">
        <v>192</v>
      </c>
      <c r="J24" s="1" t="s">
        <v>193</v>
      </c>
      <c r="K24" s="14">
        <v>18505</v>
      </c>
      <c r="L24" s="14" t="s">
        <v>194</v>
      </c>
      <c r="M24" s="14" t="s">
        <v>194</v>
      </c>
      <c r="N24" s="1"/>
      <c r="O24" s="1" t="s">
        <v>69</v>
      </c>
      <c r="P24" s="14"/>
      <c r="Q24" s="14"/>
      <c r="R24" s="15">
        <v>45897</v>
      </c>
    </row>
    <row r="25" spans="1:22" ht="15" x14ac:dyDescent="0.2">
      <c r="A25" s="22" t="s">
        <v>222</v>
      </c>
      <c r="B25" s="1" t="str">
        <f>_xlfn.CONCAT("LS - ",D25," - ",E25)</f>
        <v>LS - MLC - Maternal and Child Health</v>
      </c>
      <c r="C25" s="1" t="s">
        <v>145</v>
      </c>
      <c r="D25" s="1" t="s">
        <v>150</v>
      </c>
      <c r="E25" s="1" t="s">
        <v>155</v>
      </c>
      <c r="F25" s="1" t="b">
        <f>G25&lt;&gt;B25</f>
        <v>0</v>
      </c>
      <c r="G25" s="1" t="s">
        <v>93</v>
      </c>
      <c r="H25" s="1"/>
      <c r="I25" s="1" t="s">
        <v>72</v>
      </c>
      <c r="J25" s="1" t="s">
        <v>165</v>
      </c>
      <c r="K25" s="14" t="s">
        <v>73</v>
      </c>
      <c r="L25" s="14" t="s">
        <v>94</v>
      </c>
      <c r="M25" s="14" t="s">
        <v>94</v>
      </c>
      <c r="N25" s="1"/>
      <c r="O25" s="1" t="s">
        <v>69</v>
      </c>
    </row>
    <row r="26" spans="1:22" ht="15" x14ac:dyDescent="0.2">
      <c r="A26" s="22">
        <v>35038429779</v>
      </c>
      <c r="B26" s="1" t="str">
        <f>_xlfn.CONCAT("LS - ",D26," - ",E26)</f>
        <v>LS - MMC - Maternal and Child Health</v>
      </c>
      <c r="C26" s="1" t="s">
        <v>144</v>
      </c>
      <c r="D26" s="1" t="s">
        <v>151</v>
      </c>
      <c r="E26" s="1" t="s">
        <v>155</v>
      </c>
      <c r="F26" s="1" t="b">
        <f>G26&lt;&gt;B26</f>
        <v>1</v>
      </c>
      <c r="G26" s="1" t="s">
        <v>103</v>
      </c>
      <c r="H26" s="1" t="s">
        <v>261</v>
      </c>
      <c r="I26" s="1" t="s">
        <v>104</v>
      </c>
      <c r="J26" s="1" t="s">
        <v>165</v>
      </c>
      <c r="K26" s="14" t="s">
        <v>73</v>
      </c>
      <c r="L26" s="14" t="s">
        <v>202</v>
      </c>
      <c r="M26" s="14" t="s">
        <v>94</v>
      </c>
      <c r="N26" s="1"/>
      <c r="O26" s="14" t="s">
        <v>69</v>
      </c>
      <c r="P26" s="14"/>
      <c r="Q26" s="14"/>
      <c r="R26" s="15">
        <v>45972</v>
      </c>
    </row>
    <row r="27" spans="1:22" ht="15" x14ac:dyDescent="0.2">
      <c r="A27" s="22" t="s">
        <v>198</v>
      </c>
      <c r="B27" s="1" t="str">
        <f>_xlfn.CONCAT("LS - ",D27," - ",E27)</f>
        <v>LS - BBC - Maternal and Child Health</v>
      </c>
      <c r="C27" s="1" t="s">
        <v>141</v>
      </c>
      <c r="D27" s="1" t="s">
        <v>148</v>
      </c>
      <c r="E27" s="1" t="s">
        <v>155</v>
      </c>
      <c r="F27" s="1" t="b">
        <f>G27&lt;&gt;B27</f>
        <v>0</v>
      </c>
      <c r="G27" s="1" t="s">
        <v>71</v>
      </c>
      <c r="H27" s="1"/>
      <c r="I27" s="1" t="s">
        <v>72</v>
      </c>
      <c r="J27" s="1" t="s">
        <v>165</v>
      </c>
      <c r="K27" s="14" t="s">
        <v>73</v>
      </c>
      <c r="L27" s="14" t="s">
        <v>74</v>
      </c>
      <c r="M27" s="14" t="s">
        <v>74</v>
      </c>
      <c r="N27" s="1"/>
      <c r="O27" s="1" t="s">
        <v>69</v>
      </c>
      <c r="R27" s="15">
        <v>46119</v>
      </c>
    </row>
    <row r="28" spans="1:22" ht="15" x14ac:dyDescent="0.2">
      <c r="A28" s="22" t="s">
        <v>200</v>
      </c>
      <c r="B28" s="1" t="str">
        <f>_xlfn.CONCAT("LS - ",D28," - ",E28)</f>
        <v>LS - BH - ICU</v>
      </c>
      <c r="C28" s="1" t="s">
        <v>153</v>
      </c>
      <c r="D28" s="1" t="s">
        <v>149</v>
      </c>
      <c r="E28" s="1" t="s">
        <v>157</v>
      </c>
      <c r="F28" s="1" t="b">
        <f>G28&lt;&gt;B28</f>
        <v>0</v>
      </c>
      <c r="G28" s="1" t="s">
        <v>87</v>
      </c>
      <c r="H28" s="1"/>
      <c r="I28" s="1" t="s">
        <v>88</v>
      </c>
      <c r="J28" s="1" t="s">
        <v>165</v>
      </c>
      <c r="K28" s="14" t="s">
        <v>73</v>
      </c>
      <c r="L28" s="14" t="s">
        <v>256</v>
      </c>
      <c r="M28" s="14" t="s">
        <v>256</v>
      </c>
      <c r="N28" s="1"/>
      <c r="O28" s="1" t="s">
        <v>69</v>
      </c>
    </row>
    <row r="29" spans="1:22" ht="15" x14ac:dyDescent="0.2">
      <c r="A29" s="22" t="s">
        <v>236</v>
      </c>
      <c r="B29" s="1" t="str">
        <f>_xlfn.CONCAT("LS - ",D29," - ",E31)</f>
        <v>LS - NHC - X-ray</v>
      </c>
      <c r="C29" s="1" t="s">
        <v>243</v>
      </c>
      <c r="D29" s="1" t="s">
        <v>242</v>
      </c>
      <c r="E29" s="1" t="s">
        <v>156</v>
      </c>
      <c r="F29" s="1" t="b">
        <f>G29&lt;&gt;B29</f>
        <v>0</v>
      </c>
      <c r="G29" s="1" t="s">
        <v>235</v>
      </c>
      <c r="H29" s="1"/>
      <c r="I29" s="1" t="s">
        <v>83</v>
      </c>
      <c r="J29" s="1" t="s">
        <v>168</v>
      </c>
      <c r="K29" s="14" t="s">
        <v>84</v>
      </c>
      <c r="L29" s="14" t="s">
        <v>237</v>
      </c>
      <c r="M29" s="14" t="s">
        <v>237</v>
      </c>
      <c r="N29" s="1"/>
      <c r="O29" s="1"/>
      <c r="R29" s="15"/>
    </row>
    <row r="30" spans="1:22" ht="15" x14ac:dyDescent="0.2">
      <c r="A30" s="22" t="s">
        <v>82</v>
      </c>
      <c r="B30" s="1" t="str">
        <f>_xlfn.CONCAT("LS - ",D30," - ",E31)</f>
        <v>LS - BBC - X-ray</v>
      </c>
      <c r="C30" s="1" t="s">
        <v>141</v>
      </c>
      <c r="D30" s="1" t="s">
        <v>148</v>
      </c>
      <c r="E30" s="1" t="s">
        <v>156</v>
      </c>
      <c r="F30" s="1" t="b">
        <f>G30&lt;&gt;B30</f>
        <v>0</v>
      </c>
      <c r="G30" s="1" t="s">
        <v>81</v>
      </c>
      <c r="H30" s="1"/>
      <c r="I30" s="1" t="s">
        <v>83</v>
      </c>
      <c r="J30" s="1" t="s">
        <v>168</v>
      </c>
      <c r="K30" s="14" t="s">
        <v>84</v>
      </c>
      <c r="L30" s="14" t="s">
        <v>85</v>
      </c>
      <c r="M30" s="14" t="s">
        <v>85</v>
      </c>
      <c r="N30" s="1" t="s">
        <v>86</v>
      </c>
      <c r="O30" s="1" t="s">
        <v>69</v>
      </c>
      <c r="R30" s="15">
        <v>45967</v>
      </c>
    </row>
    <row r="31" spans="1:22" ht="15" x14ac:dyDescent="0.2">
      <c r="A31" s="22" t="s">
        <v>238</v>
      </c>
      <c r="B31" s="1" t="str">
        <f>_xlfn.CONCAT("LS - ",D31," - ",E32)</f>
        <v>LS - NHC - X-ray</v>
      </c>
      <c r="C31" s="1" t="s">
        <v>243</v>
      </c>
      <c r="D31" s="1" t="s">
        <v>242</v>
      </c>
      <c r="E31" s="1" t="s">
        <v>156</v>
      </c>
      <c r="F31" s="1" t="b">
        <f>G31&lt;&gt;B31</f>
        <v>0</v>
      </c>
      <c r="G31" s="1" t="s">
        <v>235</v>
      </c>
      <c r="H31" s="1"/>
      <c r="I31" s="1" t="s">
        <v>239</v>
      </c>
      <c r="J31" s="1" t="s">
        <v>168</v>
      </c>
      <c r="K31" s="14" t="s">
        <v>240</v>
      </c>
      <c r="L31" s="14" t="s">
        <v>241</v>
      </c>
      <c r="M31" s="14" t="s">
        <v>241</v>
      </c>
      <c r="N31" s="1"/>
      <c r="O31" s="1"/>
      <c r="R31" s="15"/>
    </row>
    <row r="32" spans="1:22" ht="15" x14ac:dyDescent="0.2">
      <c r="A32" s="22" t="s">
        <v>217</v>
      </c>
      <c r="B32" s="1" t="str">
        <f>_xlfn.CONCAT("LS - ",D32," - ",E32)</f>
        <v>LS - MH - X-ray</v>
      </c>
      <c r="C32" s="1" t="s">
        <v>147</v>
      </c>
      <c r="D32" s="1" t="s">
        <v>158</v>
      </c>
      <c r="E32" s="1" t="s">
        <v>156</v>
      </c>
      <c r="F32" s="1" t="b">
        <f>G32&lt;&gt;B32</f>
        <v>1</v>
      </c>
      <c r="G32" s="1" t="s">
        <v>118</v>
      </c>
      <c r="H32" s="1"/>
      <c r="I32" s="1" t="s">
        <v>120</v>
      </c>
      <c r="J32" s="1" t="s">
        <v>166</v>
      </c>
      <c r="K32" s="14" t="s">
        <v>121</v>
      </c>
      <c r="L32" s="14" t="s">
        <v>122</v>
      </c>
      <c r="M32" s="14" t="s">
        <v>122</v>
      </c>
      <c r="N32" s="1"/>
      <c r="O32" s="1" t="s">
        <v>69</v>
      </c>
      <c r="U32" s="1" t="s">
        <v>123</v>
      </c>
      <c r="V32" s="1" t="s">
        <v>69</v>
      </c>
    </row>
    <row r="33" spans="1:23" ht="15" x14ac:dyDescent="0.2">
      <c r="A33" s="22" t="s">
        <v>187</v>
      </c>
      <c r="B33" s="1" t="str">
        <f>_xlfn.CONCAT("LS - ",D33," - ",E33)</f>
        <v>LS - BH - X-ray</v>
      </c>
      <c r="C33" s="1" t="s">
        <v>153</v>
      </c>
      <c r="D33" s="1" t="s">
        <v>149</v>
      </c>
      <c r="E33" s="1" t="s">
        <v>156</v>
      </c>
      <c r="F33" s="1" t="b">
        <f>G33&lt;&gt;B33</f>
        <v>0</v>
      </c>
      <c r="G33" s="1" t="s">
        <v>89</v>
      </c>
      <c r="H33" s="1"/>
      <c r="I33" s="1" t="s">
        <v>188</v>
      </c>
      <c r="J33" s="1" t="s">
        <v>189</v>
      </c>
      <c r="K33" s="14">
        <v>15553</v>
      </c>
      <c r="L33" s="14" t="s">
        <v>190</v>
      </c>
      <c r="M33" s="14" t="s">
        <v>190</v>
      </c>
      <c r="N33" s="1"/>
      <c r="O33" s="1" t="s">
        <v>69</v>
      </c>
      <c r="P33" s="14"/>
      <c r="Q33" s="14"/>
      <c r="R33" s="15">
        <v>45890</v>
      </c>
    </row>
    <row r="34" spans="1:23" ht="15" x14ac:dyDescent="0.2">
      <c r="A34" s="22" t="s">
        <v>111</v>
      </c>
      <c r="B34" s="1" t="str">
        <f>_xlfn.CONCAT("LS - ",D34," - ",E34)</f>
        <v>LS - NKC - Maternal and Child Health</v>
      </c>
      <c r="C34" s="1" t="s">
        <v>146</v>
      </c>
      <c r="D34" s="1" t="s">
        <v>152</v>
      </c>
      <c r="E34" s="1" t="s">
        <v>155</v>
      </c>
      <c r="F34" s="1" t="b">
        <f>G34&lt;&gt;B34</f>
        <v>0</v>
      </c>
      <c r="G34" s="1" t="s">
        <v>109</v>
      </c>
      <c r="H34" s="1"/>
      <c r="I34" s="1" t="s">
        <v>112</v>
      </c>
      <c r="J34" s="1" t="s">
        <v>206</v>
      </c>
      <c r="K34" s="14" t="s">
        <v>113</v>
      </c>
      <c r="L34" s="14" t="s">
        <v>114</v>
      </c>
      <c r="M34" s="14" t="s">
        <v>114</v>
      </c>
      <c r="N34" s="1" t="s">
        <v>79</v>
      </c>
      <c r="O34" s="1" t="s">
        <v>69</v>
      </c>
    </row>
    <row r="35" spans="1:23" ht="15" x14ac:dyDescent="0.2">
      <c r="A35" s="22" t="s">
        <v>210</v>
      </c>
      <c r="B35" s="1" t="str">
        <f>_xlfn.CONCAT("LS - ",D35," - ",E35)</f>
        <v>LS - LKC - X-ray</v>
      </c>
      <c r="C35" s="1" t="s">
        <v>55</v>
      </c>
      <c r="D35" s="1" t="s">
        <v>207</v>
      </c>
      <c r="E35" s="1" t="s">
        <v>156</v>
      </c>
      <c r="F35" s="1" t="b">
        <f>G35&lt;&gt;B35</f>
        <v>0</v>
      </c>
      <c r="G35" s="1" t="s">
        <v>209</v>
      </c>
      <c r="H35" s="1"/>
      <c r="I35" s="1" t="s">
        <v>211</v>
      </c>
      <c r="J35" s="1" t="s">
        <v>213</v>
      </c>
      <c r="K35" s="14" t="s">
        <v>185</v>
      </c>
      <c r="L35" s="14" t="s">
        <v>212</v>
      </c>
      <c r="M35" s="14" t="s">
        <v>212</v>
      </c>
      <c r="N35" s="1" t="s">
        <v>86</v>
      </c>
      <c r="O35" s="1" t="s">
        <v>69</v>
      </c>
      <c r="P35" s="14"/>
      <c r="Q35" s="14"/>
      <c r="R35" s="15">
        <v>45974</v>
      </c>
    </row>
    <row r="36" spans="1:23" ht="15" x14ac:dyDescent="0.2">
      <c r="A36" s="22" t="s">
        <v>183</v>
      </c>
      <c r="B36" s="1" t="str">
        <f>_xlfn.CONCAT("LS - ",D36," - ",E36)</f>
        <v>LS - TNC - X-ray</v>
      </c>
      <c r="C36" s="1" t="s">
        <v>178</v>
      </c>
      <c r="D36" s="1" t="s">
        <v>179</v>
      </c>
      <c r="E36" s="1" t="s">
        <v>156</v>
      </c>
      <c r="F36" s="1" t="b">
        <f>G36&lt;&gt;B36</f>
        <v>0</v>
      </c>
      <c r="G36" s="1" t="s">
        <v>175</v>
      </c>
      <c r="H36" s="1"/>
      <c r="I36" s="1" t="s">
        <v>184</v>
      </c>
      <c r="J36" s="1" t="s">
        <v>213</v>
      </c>
      <c r="K36" s="14" t="s">
        <v>185</v>
      </c>
      <c r="L36" s="14" t="s">
        <v>186</v>
      </c>
      <c r="M36" s="14" t="s">
        <v>186</v>
      </c>
      <c r="N36" s="1"/>
      <c r="O36" s="1" t="s">
        <v>86</v>
      </c>
      <c r="P36" s="1" t="s">
        <v>69</v>
      </c>
      <c r="Q36" s="14"/>
      <c r="S36" s="15">
        <v>45993</v>
      </c>
    </row>
    <row r="39" spans="1:23" x14ac:dyDescent="0.2">
      <c r="P39" s="15"/>
    </row>
    <row r="41" spans="1:23" x14ac:dyDescent="0.2">
      <c r="A41" s="21"/>
      <c r="B41" s="23"/>
      <c r="G41" s="23"/>
    </row>
    <row r="42" spans="1:23" x14ac:dyDescent="0.2">
      <c r="P42" s="15"/>
    </row>
    <row r="48" spans="1:23" x14ac:dyDescent="0.2">
      <c r="W48" s="15"/>
    </row>
    <row r="50" spans="16:16" x14ac:dyDescent="0.2">
      <c r="P50" s="15"/>
    </row>
  </sheetData>
  <sortState xmlns:xlrd2="http://schemas.microsoft.com/office/spreadsheetml/2017/richdata2" ref="C3:W36">
    <sortCondition ref="C2:C36"/>
    <sortCondition ref="I2:I36"/>
  </sortState>
  <conditionalFormatting sqref="G2:G36">
    <cfRule type="expression" dxfId="0" priority="1">
      <formula>F2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FBFD-FECE-6E4F-90BF-6D31DD141769}">
  <dimension ref="A3:L20"/>
  <sheetViews>
    <sheetView tabSelected="1" workbookViewId="0">
      <selection activeCell="A9" sqref="A9"/>
    </sheetView>
    <sheetView workbookViewId="1">
      <selection activeCell="F11" sqref="F11"/>
    </sheetView>
  </sheetViews>
  <sheetFormatPr baseColWidth="10" defaultRowHeight="16" x14ac:dyDescent="0.2"/>
  <cols>
    <col min="1" max="2" width="10.83203125" style="33"/>
    <col min="3" max="3" width="69.83203125" style="42" customWidth="1"/>
    <col min="4" max="4" width="16.83203125" style="33" customWidth="1"/>
    <col min="5" max="5" width="18.5" style="33" customWidth="1"/>
    <col min="6" max="6" width="39.5" style="33" customWidth="1"/>
    <col min="7" max="7" width="19.5" style="33" customWidth="1"/>
    <col min="8" max="8" width="10.83203125" style="33"/>
    <col min="9" max="9" width="17.83203125" style="33" customWidth="1"/>
    <col min="10" max="10" width="18.5" style="35" customWidth="1"/>
    <col min="11" max="16384" width="10.83203125" style="33"/>
  </cols>
  <sheetData>
    <row r="3" spans="1:12" ht="51" x14ac:dyDescent="0.2">
      <c r="A3" s="33" t="s">
        <v>269</v>
      </c>
      <c r="B3" s="33" t="s">
        <v>271</v>
      </c>
      <c r="C3" s="42" t="s">
        <v>270</v>
      </c>
      <c r="D3" s="43" t="s">
        <v>75</v>
      </c>
      <c r="E3" s="44" t="s">
        <v>71</v>
      </c>
      <c r="F3" s="45" t="s">
        <v>76</v>
      </c>
      <c r="G3" s="45" t="s">
        <v>206</v>
      </c>
      <c r="H3" s="46" t="s">
        <v>77</v>
      </c>
      <c r="I3" s="44"/>
      <c r="J3" s="47"/>
    </row>
    <row r="4" spans="1:12" x14ac:dyDescent="0.2">
      <c r="J4" s="33"/>
    </row>
    <row r="5" spans="1:12" ht="51" x14ac:dyDescent="0.2">
      <c r="A5" s="33" t="s">
        <v>272</v>
      </c>
      <c r="B5" s="33" t="s">
        <v>273</v>
      </c>
      <c r="C5" s="42" t="s">
        <v>274</v>
      </c>
      <c r="D5" s="48">
        <v>35038429779</v>
      </c>
      <c r="E5" s="49" t="s">
        <v>257</v>
      </c>
      <c r="F5" s="49" t="s">
        <v>104</v>
      </c>
      <c r="G5" s="49" t="s">
        <v>165</v>
      </c>
      <c r="H5" s="50" t="s">
        <v>73</v>
      </c>
      <c r="I5" s="50" t="s">
        <v>202</v>
      </c>
      <c r="J5" s="50" t="s">
        <v>94</v>
      </c>
    </row>
    <row r="6" spans="1:12" x14ac:dyDescent="0.2">
      <c r="D6" s="44" t="s">
        <v>222</v>
      </c>
      <c r="E6" s="47" t="s">
        <v>93</v>
      </c>
      <c r="F6" s="44"/>
      <c r="G6" s="44" t="s">
        <v>72</v>
      </c>
      <c r="H6" s="44" t="s">
        <v>73</v>
      </c>
      <c r="I6" s="44" t="s">
        <v>94</v>
      </c>
      <c r="J6" s="44" t="s">
        <v>94</v>
      </c>
    </row>
    <row r="8" spans="1:12" ht="34" x14ac:dyDescent="0.2">
      <c r="A8" s="33" t="s">
        <v>283</v>
      </c>
      <c r="B8" s="33" t="s">
        <v>273</v>
      </c>
      <c r="C8" s="42" t="s">
        <v>284</v>
      </c>
    </row>
    <row r="10" spans="1:12" x14ac:dyDescent="0.2">
      <c r="G10" s="51"/>
    </row>
    <row r="16" spans="1:12" x14ac:dyDescent="0.2">
      <c r="F16" s="28"/>
      <c r="G16" s="28"/>
      <c r="H16" s="28"/>
      <c r="I16" s="29"/>
      <c r="J16" s="30"/>
      <c r="K16" s="31"/>
      <c r="L16" s="32"/>
    </row>
    <row r="17" spans="6:12" x14ac:dyDescent="0.2">
      <c r="F17" s="28"/>
      <c r="G17" s="28"/>
      <c r="H17" s="28"/>
      <c r="I17" s="29"/>
      <c r="J17" s="30"/>
      <c r="K17" s="31"/>
      <c r="L17" s="32"/>
    </row>
    <row r="18" spans="6:12" x14ac:dyDescent="0.2">
      <c r="F18" s="28"/>
      <c r="G18" s="28"/>
      <c r="H18" s="28"/>
      <c r="I18" s="29"/>
      <c r="J18" s="34"/>
      <c r="K18" s="35"/>
      <c r="L18" s="32"/>
    </row>
    <row r="19" spans="6:12" x14ac:dyDescent="0.2">
      <c r="F19" s="28"/>
      <c r="G19" s="28"/>
      <c r="H19" s="28"/>
      <c r="I19" s="29"/>
      <c r="J19" s="22"/>
      <c r="K19" s="22"/>
      <c r="L19" s="32"/>
    </row>
    <row r="20" spans="6:12" x14ac:dyDescent="0.2">
      <c r="F20" s="28"/>
      <c r="G20" s="28"/>
      <c r="H20" s="28"/>
      <c r="I20" s="29"/>
      <c r="J20" s="22"/>
      <c r="K20" s="22"/>
      <c r="L20" s="32"/>
    </row>
  </sheetData>
  <sortState xmlns:xlrd2="http://schemas.microsoft.com/office/spreadsheetml/2017/richdata2" ref="F16:L20">
    <sortCondition ref="J16:J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9C36-2E5D-A045-9DC9-F5E7AC24A148}">
  <dimension ref="A18:Q20"/>
  <sheetViews>
    <sheetView workbookViewId="0">
      <selection activeCell="A18" sqref="A18:G20"/>
    </sheetView>
    <sheetView workbookViewId="1">
      <selection activeCell="C6" sqref="C6"/>
    </sheetView>
  </sheetViews>
  <sheetFormatPr baseColWidth="10" defaultRowHeight="16" x14ac:dyDescent="0.2"/>
  <cols>
    <col min="1" max="1" width="29.33203125" customWidth="1"/>
    <col min="2" max="2" width="30.33203125" customWidth="1"/>
    <col min="3" max="3" width="30.5" customWidth="1"/>
    <col min="4" max="4" width="26.5" customWidth="1"/>
    <col min="7" max="7" width="24.33203125" customWidth="1"/>
  </cols>
  <sheetData>
    <row r="18" spans="1:17" x14ac:dyDescent="0.2">
      <c r="A18" t="s">
        <v>124</v>
      </c>
      <c r="B18" t="s">
        <v>125</v>
      </c>
      <c r="C18" t="s">
        <v>126</v>
      </c>
      <c r="D18" t="s">
        <v>127</v>
      </c>
      <c r="E18" t="s">
        <v>128</v>
      </c>
      <c r="F18" t="s">
        <v>129</v>
      </c>
      <c r="G18" t="s">
        <v>130</v>
      </c>
      <c r="H18" t="s">
        <v>131</v>
      </c>
      <c r="I18" t="s">
        <v>132</v>
      </c>
      <c r="J18" t="s">
        <v>133</v>
      </c>
      <c r="K18" t="s">
        <v>134</v>
      </c>
      <c r="L18" t="s">
        <v>135</v>
      </c>
      <c r="M18" t="s">
        <v>136</v>
      </c>
      <c r="N18" t="s">
        <v>137</v>
      </c>
      <c r="O18" t="s">
        <v>138</v>
      </c>
      <c r="P18" t="s">
        <v>139</v>
      </c>
      <c r="Q18" t="s">
        <v>140</v>
      </c>
    </row>
    <row r="19" spans="1:17" x14ac:dyDescent="0.2">
      <c r="A19" t="s">
        <v>66</v>
      </c>
      <c r="B19" t="s">
        <v>103</v>
      </c>
      <c r="C19">
        <v>35038429779</v>
      </c>
      <c r="D19" t="s">
        <v>104</v>
      </c>
      <c r="E19" t="s">
        <v>73</v>
      </c>
      <c r="F19">
        <v>25562</v>
      </c>
      <c r="G19" t="s">
        <v>202</v>
      </c>
      <c r="I19" t="s">
        <v>69</v>
      </c>
      <c r="L19" s="7">
        <v>45972</v>
      </c>
    </row>
    <row r="20" spans="1:17" x14ac:dyDescent="0.2">
      <c r="A20" t="s">
        <v>66</v>
      </c>
      <c r="B20" t="s">
        <v>93</v>
      </c>
      <c r="D20" t="s">
        <v>72</v>
      </c>
      <c r="E20" t="s">
        <v>73</v>
      </c>
      <c r="G20" t="s">
        <v>94</v>
      </c>
      <c r="I2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Landscape</vt:lpstr>
      <vt:lpstr>UpKeep Details</vt:lpstr>
      <vt:lpstr>Issues</vt:lpstr>
      <vt:lpstr>Scratch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Albers</dc:creator>
  <cp:lastModifiedBy>Jim Albers</cp:lastModifiedBy>
  <dcterms:created xsi:type="dcterms:W3CDTF">2026-05-16T02:36:43Z</dcterms:created>
  <dcterms:modified xsi:type="dcterms:W3CDTF">2026-05-27T21:24:07Z</dcterms:modified>
</cp:coreProperties>
</file>