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lbers/git/Fastpilot/imladris-bophelong/modalities/"/>
    </mc:Choice>
  </mc:AlternateContent>
  <xr:revisionPtr revIDLastSave="0" documentId="8_{2DC437E6-7F24-534F-80DA-94C9C168B0DE}" xr6:coauthVersionLast="47" xr6:coauthVersionMax="47" xr10:uidLastSave="{00000000-0000-0000-0000-000000000000}"/>
  <bookViews>
    <workbookView xWindow="0" yWindow="660" windowWidth="32820" windowHeight="15120" activeTab="2" xr2:uid="{888F0170-BB40-8D40-9F53-2359024C807A}"/>
    <workbookView xWindow="6440" yWindow="9840" windowWidth="40360" windowHeight="12500" activeTab="2" xr2:uid="{20990F09-2A54-3942-BE0C-929168C0E362}"/>
  </bookViews>
  <sheets>
    <sheet name="README" sheetId="4" r:id="rId1"/>
    <sheet name="Landscape" sheetId="2" r:id="rId2"/>
    <sheet name="Modality" sheetId="3" r:id="rId3"/>
  </sheets>
  <definedNames>
    <definedName name="_xlnm._FilterDatabase" localSheetId="2" hidden="1">Modality!$A$1:$Z$34</definedName>
    <definedName name="EntityList">README!$B$29:$B$52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5" i="3" l="1"/>
  <c r="E28" i="3"/>
  <c r="E26" i="3"/>
  <c r="E29" i="3"/>
  <c r="E30" i="3"/>
  <c r="E32" i="3"/>
  <c r="E31" i="3"/>
  <c r="E20" i="3"/>
  <c r="E8" i="3"/>
  <c r="E14" i="3"/>
  <c r="E15" i="3"/>
  <c r="E12" i="3"/>
  <c r="E13" i="3"/>
  <c r="E24" i="3"/>
  <c r="E4" i="3"/>
  <c r="E10" i="3"/>
  <c r="E9" i="3"/>
  <c r="E11" i="3"/>
  <c r="E39" i="3"/>
  <c r="E38" i="3"/>
  <c r="E37" i="3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63" i="4"/>
  <c r="C64" i="4"/>
  <c r="C65" i="4"/>
  <c r="E19" i="3"/>
  <c r="E18" i="3"/>
  <c r="E17" i="3"/>
  <c r="E16" i="3"/>
  <c r="E36" i="3"/>
  <c r="E34" i="3"/>
  <c r="E33" i="3"/>
  <c r="E27" i="3"/>
  <c r="E25" i="3"/>
  <c r="E23" i="3"/>
  <c r="E21" i="3"/>
  <c r="E22" i="3"/>
  <c r="E7" i="3"/>
  <c r="E6" i="3"/>
  <c r="E5" i="3"/>
  <c r="E2" i="3"/>
  <c r="E3" i="3"/>
</calcChain>
</file>

<file path=xl/sharedStrings.xml><?xml version="1.0" encoding="utf-8"?>
<sst xmlns="http://schemas.openxmlformats.org/spreadsheetml/2006/main" count="789" uniqueCount="282">
  <si>
    <r>
      <t>Modality location</t>
    </r>
    <r>
      <rPr>
        <sz val="11"/>
        <rFont val="Calibri"/>
        <family val="2"/>
      </rPr>
      <t> </t>
    </r>
  </si>
  <si>
    <r>
      <t>Modality type</t>
    </r>
    <r>
      <rPr>
        <sz val="11"/>
        <rFont val="Calibri"/>
        <family val="2"/>
      </rPr>
      <t> </t>
    </r>
  </si>
  <si>
    <r>
      <t>Model number</t>
    </r>
    <r>
      <rPr>
        <sz val="11"/>
        <rFont val="Calibri"/>
        <family val="2"/>
      </rPr>
      <t> </t>
    </r>
  </si>
  <si>
    <r>
      <t>Quantity</t>
    </r>
    <r>
      <rPr>
        <sz val="11"/>
        <rFont val="Calibri"/>
        <family val="2"/>
      </rPr>
      <t> </t>
    </r>
  </si>
  <si>
    <r>
      <t>Digital (Y/N)</t>
    </r>
    <r>
      <rPr>
        <sz val="11"/>
        <rFont val="Calibri"/>
        <family val="2"/>
      </rPr>
      <t> </t>
    </r>
  </si>
  <si>
    <r>
      <t>Operational (Y/N)</t>
    </r>
    <r>
      <rPr>
        <sz val="11"/>
        <rFont val="Calibri"/>
        <family val="2"/>
      </rPr>
      <t> </t>
    </r>
  </si>
  <si>
    <r>
      <t>DICOM License (Y/N)</t>
    </r>
    <r>
      <rPr>
        <sz val="11"/>
        <rFont val="Calibri"/>
        <family val="2"/>
      </rPr>
      <t> </t>
    </r>
  </si>
  <si>
    <t>Botsabelo </t>
  </si>
  <si>
    <t>Mobile X-Ray  </t>
  </si>
  <si>
    <t>Lamina Plus -MUX-100H </t>
  </si>
  <si>
    <t>1 </t>
  </si>
  <si>
    <t>N </t>
  </si>
  <si>
    <r>
      <t>Y (Software license expired)</t>
    </r>
    <r>
      <rPr>
        <sz val="11"/>
        <color rgb="FF2E74B5"/>
        <rFont val="Calibri"/>
        <family val="2"/>
      </rPr>
      <t> </t>
    </r>
  </si>
  <si>
    <r>
      <t>N/A (not digital)</t>
    </r>
    <r>
      <rPr>
        <sz val="11"/>
        <color rgb="FF2E74B5"/>
        <rFont val="Calibri"/>
        <family val="2"/>
      </rPr>
      <t> </t>
    </r>
  </si>
  <si>
    <t>Portable X-ray  </t>
  </si>
  <si>
    <t>Sedecal - TXLW8 </t>
  </si>
  <si>
    <r>
      <t>1</t>
    </r>
    <r>
      <rPr>
        <sz val="11"/>
        <color rgb="FF2E74B5"/>
        <rFont val="Calibri"/>
        <family val="2"/>
      </rPr>
      <t> </t>
    </r>
  </si>
  <si>
    <r>
      <t>Y</t>
    </r>
    <r>
      <rPr>
        <sz val="11"/>
        <color rgb="FF2E74B5"/>
        <rFont val="Calibri"/>
        <family val="2"/>
      </rPr>
      <t> </t>
    </r>
  </si>
  <si>
    <r>
      <t>assessed after PACS vendor selection</t>
    </r>
    <r>
      <rPr>
        <sz val="11"/>
        <color rgb="FF2E74B5"/>
        <rFont val="Calibri"/>
        <family val="2"/>
      </rPr>
      <t> </t>
    </r>
  </si>
  <si>
    <t>Fixed X-ray Room (table and wall stand) </t>
  </si>
  <si>
    <t>Sedecal X-Ray Machine - RAD Console - Sedecal - G - 83780 </t>
  </si>
  <si>
    <t>Ultrasound  </t>
  </si>
  <si>
    <t>Butterfly Network, Inc - iQ+ </t>
  </si>
  <si>
    <t>Fujifilm Sonosite - M Turbo </t>
  </si>
  <si>
    <t>5 High volume health facilities in Mohales Hoek </t>
  </si>
  <si>
    <t>Portable x-ray </t>
  </si>
  <si>
    <t>MinXray Impact </t>
  </si>
  <si>
    <t>(incoming – not received yet) </t>
  </si>
  <si>
    <t>5 </t>
  </si>
  <si>
    <t>5 Rural Initiative sites </t>
  </si>
  <si>
    <t>7 </t>
  </si>
  <si>
    <t>Ntsekhe Hospital </t>
  </si>
  <si>
    <t>2 </t>
  </si>
  <si>
    <t>Tihanyaku Clinic </t>
  </si>
  <si>
    <t>Ultrasound </t>
  </si>
  <si>
    <t>Sonosite Titan P04107-02R </t>
  </si>
  <si>
    <r>
      <t>assessed after PACS vendor selection</t>
    </r>
    <r>
      <rPr>
        <sz val="11"/>
        <color rgb="FF2E74B5"/>
        <rFont val="Calibri"/>
        <family val="2"/>
      </rPr>
      <t> </t>
    </r>
  </si>
  <si>
    <t>Portable X-ray </t>
  </si>
  <si>
    <t>Fujifilm FDR Xair XD2000 PX </t>
  </si>
  <si>
    <t>Mobile X-Ray (Analog) </t>
  </si>
  <si>
    <t>Siemens 5510 </t>
  </si>
  <si>
    <r>
      <t>N</t>
    </r>
    <r>
      <rPr>
        <sz val="11"/>
        <color rgb="FF2E74B5"/>
        <rFont val="Calibri"/>
        <family val="2"/>
      </rPr>
      <t> </t>
    </r>
  </si>
  <si>
    <t>Nohana Clinic </t>
  </si>
  <si>
    <t>MinXray CMDR.T.120.60.S </t>
  </si>
  <si>
    <t>Fujifilm Sonosite M-Turbo </t>
  </si>
  <si>
    <t>Nkau Clinic </t>
  </si>
  <si>
    <t>Butterfly iQ3 </t>
  </si>
  <si>
    <t>Portable X-Ray </t>
  </si>
  <si>
    <t>MinXray MXRSLW </t>
  </si>
  <si>
    <t>Mohale’s Hoek </t>
  </si>
  <si>
    <t>Mobile X-ray </t>
  </si>
  <si>
    <t>OR Technology PXM-20BT Plus with iRay Detector </t>
  </si>
  <si>
    <r>
      <t>assessed after PACS vendor selection</t>
    </r>
    <r>
      <rPr>
        <sz val="11"/>
        <color rgb="FF2E74B5"/>
        <rFont val="Calibri"/>
        <family val="2"/>
      </rPr>
      <t> </t>
    </r>
  </si>
  <si>
    <t>Methalaneng Clinic </t>
  </si>
  <si>
    <t>Butterfly iQ+ </t>
  </si>
  <si>
    <t>Sonosite  Titan P04107-02R </t>
  </si>
  <si>
    <t>MinXray TR90BH with CareView detector </t>
  </si>
  <si>
    <t>Siemens 08633864 </t>
  </si>
  <si>
    <t>Manemaneng Clinic </t>
  </si>
  <si>
    <t>Portable X-Ray  </t>
  </si>
  <si>
    <t>MinXray TR90BH with detector </t>
  </si>
  <si>
    <t>Siemens 8620002 </t>
  </si>
  <si>
    <t>Lebakeng Clinic </t>
  </si>
  <si>
    <t>Fujifilm Sonosite M-turbo </t>
  </si>
  <si>
    <t>Fujifilm FDR Xair with FDR D-EVO II detector </t>
  </si>
  <si>
    <t>Mobile X-ray (Analog) </t>
  </si>
  <si>
    <t>Siemens 5510-IEC 60601-2-7 : 1998 </t>
  </si>
  <si>
    <t>Bobete Clinic </t>
  </si>
  <si>
    <t>MinXray CMDR.T.120.60.S with detector </t>
  </si>
  <si>
    <t>Mobile X-Ray (Analog) </t>
  </si>
  <si>
    <t>Fujifilm Sonosite P04107-02R </t>
  </si>
  <si>
    <t>Kevin, here is the list of modalities identified in the 'landscape assessment'.  Do we have a repository of manuals and technical documentation for these systems I can get access to?</t>
  </si>
  <si>
    <t>Common Name</t>
  </si>
  <si>
    <t>Landscape Name</t>
  </si>
  <si>
    <t>Make</t>
  </si>
  <si>
    <t>Model</t>
  </si>
  <si>
    <t>Options</t>
  </si>
  <si>
    <t>Butterfly iQ+ </t>
  </si>
  <si>
    <t>Lesotho Biomed</t>
  </si>
  <si>
    <t>X-Ray Machine</t>
  </si>
  <si>
    <t>TR90BH</t>
  </si>
  <si>
    <t>available</t>
  </si>
  <si>
    <t>Lesotho - Methalaneng Clinic</t>
  </si>
  <si>
    <t>LS - BBC - Maternal and Child Health</t>
  </si>
  <si>
    <t>Butterfly Ultrasound - Butterfly Network - iQ+</t>
  </si>
  <si>
    <t>iQ+</t>
  </si>
  <si>
    <t>BT21140486</t>
  </si>
  <si>
    <t>BBC00002B</t>
  </si>
  <si>
    <t>Ultrasound Machine - Fujifilm Sonosite Inc - P04107-02R</t>
  </si>
  <si>
    <t>P04107-02R</t>
  </si>
  <si>
    <t>032D7V</t>
  </si>
  <si>
    <t>Ultrasound</t>
  </si>
  <si>
    <t>P04969-01A</t>
  </si>
  <si>
    <t>LS - BBC - X-ray</t>
  </si>
  <si>
    <t>BBC00018B</t>
  </si>
  <si>
    <t>X-Ray Portable Digital Radiography System - MINXRAY - CMDR.T.120.60.S</t>
  </si>
  <si>
    <t>CMDR.T.120.60.S</t>
  </si>
  <si>
    <t>CMK2105</t>
  </si>
  <si>
    <t>Portable X-ray</t>
  </si>
  <si>
    <t>LS - BH - ICU</t>
  </si>
  <si>
    <t>Ultrasound - Butterfly Network, Inc - iQ+</t>
  </si>
  <si>
    <t>(21)BT21140B12</t>
  </si>
  <si>
    <t>LS - BH - X-ray</t>
  </si>
  <si>
    <t>Ultrasound - Fujifilm Sonosite - M Turbo</t>
  </si>
  <si>
    <t>M-Turbo</t>
  </si>
  <si>
    <t>03R92L</t>
  </si>
  <si>
    <t>LS - MLC - Maternal and Child Health</t>
  </si>
  <si>
    <t>BT21130623</t>
  </si>
  <si>
    <t>MLC00022B</t>
  </si>
  <si>
    <t>Ultrasound Machine - Transducer - Sonosite - P04969-01A</t>
  </si>
  <si>
    <t>0388R5</t>
  </si>
  <si>
    <t>MLC00008B</t>
  </si>
  <si>
    <t>Ultrasound Machine - Titan - P04107-02R</t>
  </si>
  <si>
    <t>not-available</t>
  </si>
  <si>
    <t>LS - MLC - X-ray</t>
  </si>
  <si>
    <t>Portable X-Ray Machine - MinXRay - TR90BH</t>
  </si>
  <si>
    <t>LS - MMC - Maternal and  Child health</t>
  </si>
  <si>
    <t>Ultrasound - Butterfly - IQ+</t>
  </si>
  <si>
    <t>RA 100 05 0001</t>
  </si>
  <si>
    <t>Butterfly Ultrasound - Butterfly Network - iQ3</t>
  </si>
  <si>
    <t>iQ3</t>
  </si>
  <si>
    <t>LS - MMC - X-Ray Department</t>
  </si>
  <si>
    <t>LS - NKC - Maternal and Child Health</t>
  </si>
  <si>
    <t>NK 100 05 0001</t>
  </si>
  <si>
    <t>NKC00021B</t>
  </si>
  <si>
    <t>Ultrasound Machine - Fujifilm Sonosite - M-turbo</t>
  </si>
  <si>
    <t>P08189-91R</t>
  </si>
  <si>
    <t>WK0VN1</t>
  </si>
  <si>
    <t>LS - NKC - X-ray</t>
  </si>
  <si>
    <t>X-Ray Machine-MinXray</t>
  </si>
  <si>
    <t>MXRSLW</t>
  </si>
  <si>
    <t>X - Ray Department</t>
  </si>
  <si>
    <t>Butterfly Ultrasound - Butterly Network - iQ3</t>
  </si>
  <si>
    <t>Diagnostic X-Ray Unit - OR Technology - (PXM-20BT Plus)</t>
  </si>
  <si>
    <t>PXM-20BT Plus</t>
  </si>
  <si>
    <t>NPTH20BP-2306-008</t>
  </si>
  <si>
    <t>Mobile X-Ray Clinic 2 - LSMOHLC004</t>
  </si>
  <si>
    <t>UpKeep Site</t>
  </si>
  <si>
    <t>Location Name</t>
  </si>
  <si>
    <t>Asset Tag (UpKeep)</t>
  </si>
  <si>
    <t>Asset Name (UpKeep)</t>
  </si>
  <si>
    <t>Model (UpKeep)</t>
  </si>
  <si>
    <t>OpenBoxes Code (UpKeep)</t>
  </si>
  <si>
    <t>Serial Number (UpKeep)</t>
  </si>
  <si>
    <t>Category</t>
  </si>
  <si>
    <t>Downtime Status</t>
  </si>
  <si>
    <t>Purchase Date</t>
  </si>
  <si>
    <t>Placed In Service Date</t>
  </si>
  <si>
    <t>Most Recent Work Order Completed Date</t>
  </si>
  <si>
    <t>Warranty Expiration</t>
  </si>
  <si>
    <t>Parent Asset Tag</t>
  </si>
  <si>
    <t>Parent Asset Name</t>
  </si>
  <si>
    <t>Parent Asset Downtime Status</t>
  </si>
  <si>
    <t>Parent Asset OB Code</t>
  </si>
  <si>
    <t>Bobete Clinic</t>
  </si>
  <si>
    <t>Parent Location</t>
  </si>
  <si>
    <t>Parent Abbrev</t>
  </si>
  <si>
    <t>Manemaneng Clinic</t>
  </si>
  <si>
    <t>Methalaneng Clinic</t>
  </si>
  <si>
    <t>Nkau Clinic</t>
  </si>
  <si>
    <t>Mohales Hoek (TB Elimination)</t>
  </si>
  <si>
    <t>BBC</t>
  </si>
  <si>
    <t>BH</t>
  </si>
  <si>
    <t>MLC</t>
  </si>
  <si>
    <t>MMC</t>
  </si>
  <si>
    <t>NKC</t>
  </si>
  <si>
    <t>Botsabelo MDR-TB Hospital</t>
  </si>
  <si>
    <t>Site Location</t>
  </si>
  <si>
    <t>Maternal and Child Health</t>
  </si>
  <si>
    <t>X-ray</t>
  </si>
  <si>
    <t>ICU</t>
  </si>
  <si>
    <t>MH</t>
  </si>
  <si>
    <t>MHC</t>
  </si>
  <si>
    <t>Normalized Location Name</t>
  </si>
  <si>
    <t>Modality ID</t>
  </si>
  <si>
    <t>Note</t>
  </si>
  <si>
    <t>Index</t>
  </si>
  <si>
    <t>Upkeep Location Name</t>
  </si>
  <si>
    <t>Manufacturer</t>
  </si>
  <si>
    <t>Butterfly Network</t>
  </si>
  <si>
    <t>OR Technology</t>
  </si>
  <si>
    <t>Fujifilm</t>
  </si>
  <si>
    <t>MinXray</t>
  </si>
  <si>
    <t>LS - TNC - Maternal and Child Health</t>
  </si>
  <si>
    <t>TNC00012B</t>
  </si>
  <si>
    <t>Ultrasound Machine - Sonosite TITAN - P04107-02R</t>
  </si>
  <si>
    <t>Titan</t>
  </si>
  <si>
    <t>031XRH</t>
  </si>
  <si>
    <t>LS - TNC - X-ray</t>
  </si>
  <si>
    <t>X-Ray Machine - Siemens - 5510</t>
  </si>
  <si>
    <t>32831</t>
  </si>
  <si>
    <t>Tihanyaku Clinic</t>
  </si>
  <si>
    <t>TNC</t>
  </si>
  <si>
    <t>duplicate?  UpKeep shows only one ultrasound for this clinic.</t>
  </si>
  <si>
    <t>Siemans</t>
  </si>
  <si>
    <t>Siemens</t>
  </si>
  <si>
    <t>TNC00013B</t>
  </si>
  <si>
    <t>Portable X-Ray Unit FDR Xair - Fujifilm Corp. - XD2000 PX</t>
  </si>
  <si>
    <t>XD2000 PX</t>
  </si>
  <si>
    <t>XDRH-6216</t>
  </si>
  <si>
    <t>NOAT00001</t>
  </si>
  <si>
    <t>NOATnnnnn</t>
  </si>
  <si>
    <t>NOAT = no asset tag provided in UpKeep</t>
  </si>
  <si>
    <t>BH00058B</t>
  </si>
  <si>
    <t>Portable X-ray - Sedecal - TXLW8</t>
  </si>
  <si>
    <t>TXLW8</t>
  </si>
  <si>
    <t>PKL12432</t>
  </si>
  <si>
    <t>BH00059B</t>
  </si>
  <si>
    <t>Sedecal X - Ray Machine</t>
  </si>
  <si>
    <t>Radiographic System Sedecal X</t>
  </si>
  <si>
    <t>BR10220</t>
  </si>
  <si>
    <t>BH00116B</t>
  </si>
  <si>
    <t>SHF - 430</t>
  </si>
  <si>
    <t>G - 83780</t>
  </si>
  <si>
    <t>BBC00017B</t>
  </si>
  <si>
    <t>X-Ray Mobile Equipment - Siemens - 5510</t>
  </si>
  <si>
    <t>32345</t>
  </si>
  <si>
    <t>NOTAG0004</t>
  </si>
  <si>
    <t>NOTAG0001</t>
  </si>
  <si>
    <t>NOTAG0003</t>
  </si>
  <si>
    <t>NOTAG0002</t>
  </si>
  <si>
    <t>(21)BT21130623</t>
  </si>
  <si>
    <t>LS - LKC - Maternal and Child Health</t>
  </si>
  <si>
    <t>LKC00019B</t>
  </si>
  <si>
    <t>03NHXN</t>
  </si>
  <si>
    <t>Fujifilm Sonosite</t>
  </si>
  <si>
    <t>LKC</t>
  </si>
  <si>
    <t>24190422</t>
  </si>
  <si>
    <t>LS - LKC - X-ray</t>
  </si>
  <si>
    <t>LKC00008B</t>
  </si>
  <si>
    <t>Portable X-Ray Unit FDR Xair - Fujifilm Corp - XD2000 PX</t>
  </si>
  <si>
    <t>XDRH-6213</t>
  </si>
  <si>
    <t>Fujifilm Healthcare</t>
  </si>
  <si>
    <t>LK100050001</t>
  </si>
  <si>
    <t>NOTAG0005</t>
  </si>
  <si>
    <t>NOTAG0006</t>
  </si>
  <si>
    <t>NOTAG0007</t>
  </si>
  <si>
    <t>NOTAG0008</t>
  </si>
  <si>
    <t>NOTAG0009</t>
  </si>
  <si>
    <t>LKC00009B</t>
  </si>
  <si>
    <t>AERB/XT/02A/09</t>
  </si>
  <si>
    <t>NOTAG0010</t>
  </si>
  <si>
    <t>BH00060B</t>
  </si>
  <si>
    <t>Mobile X-Ray - Lamina Plus -MUX-100H</t>
  </si>
  <si>
    <t>MUX-100H</t>
  </si>
  <si>
    <t>503-48500-12</t>
  </si>
  <si>
    <t>Shimadzu</t>
  </si>
  <si>
    <t>Model number should be</t>
  </si>
  <si>
    <t>Siemens 5510</t>
  </si>
  <si>
    <t>Mobile X-Ray machine</t>
  </si>
  <si>
    <t>AERB/02A/574</t>
  </si>
  <si>
    <t>Sedecal X-Ray Machine - X-ray Generator SHF</t>
  </si>
  <si>
    <t>Sedecal</t>
  </si>
  <si>
    <t>Serial # is like a Siemens 5510</t>
  </si>
  <si>
    <t>Notes</t>
  </si>
  <si>
    <t>5853269117</t>
  </si>
  <si>
    <t>Duplicate 46617 in redundant location Lesotho - Manemaneng Clinic</t>
  </si>
  <si>
    <t>LS - NHC - X-ray</t>
  </si>
  <si>
    <t>NHC00011B</t>
  </si>
  <si>
    <t>CMK2104</t>
  </si>
  <si>
    <t>NHC00009B</t>
  </si>
  <si>
    <t>X-Ray Machine - MINXRAY</t>
  </si>
  <si>
    <t>CMDR.T.120.60S</t>
  </si>
  <si>
    <t>CMK2106</t>
  </si>
  <si>
    <t>NHC</t>
  </si>
  <si>
    <t>Nohana Clinic</t>
  </si>
  <si>
    <t>LS - NHC - Maternal and Child Health</t>
  </si>
  <si>
    <t>NHC00005B</t>
  </si>
  <si>
    <t>03X570</t>
  </si>
  <si>
    <t>NHC00010B</t>
  </si>
  <si>
    <t>32344</t>
  </si>
  <si>
    <t>Same unit as in MLC?  Moved?</t>
  </si>
  <si>
    <t>Same unit as in MMC?  Moved?</t>
  </si>
  <si>
    <t>What does 08633864 mean?</t>
  </si>
  <si>
    <t>Should probably be P04969-01A?  There is a P04107-02R at LS-BBC-Maternal.</t>
  </si>
  <si>
    <t>Asset Tag #1</t>
  </si>
  <si>
    <t>Asset Tag #2</t>
  </si>
  <si>
    <t>Only 1 in UpKeep..</t>
  </si>
  <si>
    <t>NKC00030B</t>
  </si>
  <si>
    <t>X-Ray Machine - Siemens - 8620002</t>
  </si>
  <si>
    <t>32343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</si>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</sst>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sz val="11"/>
      <color rgb="FF2E74B5"/>
      <name val="Calibri"/>
      <family val="2"/>
    </font>
    <font>
      <sz val="11"/>
      <color rgb="FF2E74B5"/>
      <name val="Arial"/>
      <family val="2"/>
    </font>
    <font>
      <b/>
      <sz val="11"/>
      <color rgb="FF2E74B5"/>
      <name val="Calibri"/>
      <family val="2"/>
    </font>
    <font>
      <i/>
      <sz val="11"/>
      <color rgb="FF2E74B5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9C5700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0" fillId="0" borderId="0" xfId="0" applyFont="1"/>
    <xf numFmtId="0" fontId="11" fillId="0" borderId="0" xfId="0" applyFont="1" applyAlignment="1"/>
    <xf numFmtId="15" fontId="0" fillId="0" borderId="0" xfId="0" applyNumberFormat="1"/>
    <xf numFmtId="0" fontId="12" fillId="0" borderId="0" xfId="0" applyFont="1"/>
    <xf numFmtId="49" fontId="0" fillId="0" borderId="0" xfId="0" applyNumberForma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3" fillId="3" borderId="0" xfId="2" applyFont="1" applyAlignment="1"/>
    <xf numFmtId="0" fontId="14" fillId="0" borderId="0" xfId="0" applyFont="1"/>
    <xf numFmtId="49" fontId="14" fillId="0" borderId="0" xfId="0" applyNumberFormat="1" applyFont="1"/>
    <xf numFmtId="49" fontId="3" fillId="0" borderId="0" xfId="0" applyNumberFormat="1" applyFont="1"/>
    <xf numFmtId="15" fontId="3" fillId="0" borderId="0" xfId="0" applyNumberFormat="1" applyFont="1"/>
    <xf numFmtId="49" fontId="3" fillId="4" borderId="0" xfId="0" applyNumberFormat="1" applyFont="1" applyFill="1"/>
    <xf numFmtId="0" fontId="15" fillId="3" borderId="0" xfId="2" applyFont="1"/>
    <xf numFmtId="0" fontId="16" fillId="0" borderId="0" xfId="0" applyFont="1" applyAlignment="1"/>
    <xf numFmtId="0" fontId="16" fillId="0" borderId="0" xfId="0" applyFont="1"/>
    <xf numFmtId="49" fontId="16" fillId="0" borderId="0" xfId="0" applyNumberFormat="1" applyFont="1"/>
    <xf numFmtId="0" fontId="16" fillId="0" borderId="0" xfId="0" applyFont="1" applyAlignment="1">
      <alignment wrapText="1"/>
    </xf>
    <xf numFmtId="49" fontId="4" fillId="0" borderId="0" xfId="0" applyNumberFormat="1" applyFont="1" applyAlignment="1"/>
    <xf numFmtId="49" fontId="6" fillId="0" borderId="0" xfId="0" applyNumberFormat="1" applyFont="1" applyAlignment="1"/>
    <xf numFmtId="49" fontId="16" fillId="0" borderId="0" xfId="0" applyNumberFormat="1" applyFont="1" applyAlignment="1"/>
    <xf numFmtId="49" fontId="1" fillId="2" borderId="0" xfId="1" applyNumberFormat="1"/>
    <xf numFmtId="49" fontId="17" fillId="2" borderId="0" xfId="1" applyNumberFormat="1" applyFont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E051-1EBF-E447-8D63-4AA3F7CF545E}">
  <dimension ref="A6:C71"/>
  <sheetViews>
    <sheetView topLeftCell="A16" workbookViewId="0">
      <selection activeCell="A14" sqref="A14"/>
    </sheetView>
    <sheetView workbookViewId="1"/>
  </sheetViews>
  <sheetFormatPr baseColWidth="10" defaultRowHeight="16" x14ac:dyDescent="0.2"/>
  <cols>
    <col min="1" max="1" width="36.6640625" customWidth="1"/>
    <col min="2" max="2" width="48.83203125" customWidth="1"/>
    <col min="3" max="3" width="28.33203125" customWidth="1"/>
  </cols>
  <sheetData>
    <row r="6" spans="1:2" x14ac:dyDescent="0.2">
      <c r="A6" s="12" t="s">
        <v>281</v>
      </c>
    </row>
    <row r="7" spans="1:2" x14ac:dyDescent="0.2">
      <c r="A7" t="s">
        <v>201</v>
      </c>
      <c r="B7" t="s">
        <v>202</v>
      </c>
    </row>
    <row r="25" spans="1:3" x14ac:dyDescent="0.2">
      <c r="A25" s="9" t="s">
        <v>71</v>
      </c>
      <c r="B25" s="3"/>
      <c r="C25" s="3"/>
    </row>
    <row r="26" spans="1:3" x14ac:dyDescent="0.2">
      <c r="A26" s="3"/>
      <c r="B26" s="3"/>
      <c r="C26" s="3"/>
    </row>
    <row r="27" spans="1:3" x14ac:dyDescent="0.2">
      <c r="A27" s="3"/>
      <c r="B27" s="3"/>
      <c r="C27" s="3"/>
    </row>
    <row r="28" spans="1:3" x14ac:dyDescent="0.2">
      <c r="A28" s="3" t="s">
        <v>73</v>
      </c>
      <c r="B28" s="3" t="s">
        <v>72</v>
      </c>
      <c r="C28" s="3" t="s">
        <v>74</v>
      </c>
    </row>
    <row r="29" spans="1:3" x14ac:dyDescent="0.2">
      <c r="A29" s="4" t="s">
        <v>54</v>
      </c>
      <c r="B29" s="10" t="s">
        <v>77</v>
      </c>
      <c r="C29" s="3" t="str">
        <f>INDEX(_xlfn.TEXTSPLIT(B29," "),1,1)</f>
        <v>Butterfly</v>
      </c>
    </row>
    <row r="30" spans="1:3" x14ac:dyDescent="0.2">
      <c r="A30" s="4" t="s">
        <v>46</v>
      </c>
      <c r="B30" s="10" t="s">
        <v>46</v>
      </c>
      <c r="C30" s="3" t="str">
        <f>INDEX(_xlfn.TEXTSPLIT(B30," "),1,1)</f>
        <v>Butterfly</v>
      </c>
    </row>
    <row r="31" spans="1:3" x14ac:dyDescent="0.2">
      <c r="A31" s="4" t="s">
        <v>22</v>
      </c>
      <c r="B31" s="10" t="s">
        <v>77</v>
      </c>
      <c r="C31" s="3" t="str">
        <f>INDEX(_xlfn.TEXTSPLIT(B31," "),1,1)</f>
        <v>Butterfly</v>
      </c>
    </row>
    <row r="32" spans="1:3" x14ac:dyDescent="0.2">
      <c r="A32" s="4" t="s">
        <v>38</v>
      </c>
      <c r="B32" s="10" t="s">
        <v>38</v>
      </c>
      <c r="C32" s="3" t="str">
        <f>INDEX(_xlfn.TEXTSPLIT(B32," "),1,1)</f>
        <v>Fujifilm</v>
      </c>
    </row>
    <row r="33" spans="1:3" x14ac:dyDescent="0.2">
      <c r="A33" s="4" t="s">
        <v>44</v>
      </c>
      <c r="B33" s="10" t="s">
        <v>44</v>
      </c>
      <c r="C33" s="3" t="str">
        <f>INDEX(_xlfn.TEXTSPLIT(B33," "),1,1)</f>
        <v>Fujifilm Sonosite M-Turbo </v>
      </c>
    </row>
    <row r="34" spans="1:3" x14ac:dyDescent="0.2">
      <c r="A34" s="4" t="s">
        <v>9</v>
      </c>
      <c r="B34" s="10" t="s">
        <v>9</v>
      </c>
      <c r="C34" s="3" t="str">
        <f>INDEX(_xlfn.TEXTSPLIT(B34," "),1,1)</f>
        <v>Lamina</v>
      </c>
    </row>
    <row r="35" spans="1:3" x14ac:dyDescent="0.2">
      <c r="A35" s="4" t="s">
        <v>43</v>
      </c>
      <c r="B35" s="10" t="s">
        <v>43</v>
      </c>
      <c r="C35" s="3" t="str">
        <f>INDEX(_xlfn.TEXTSPLIT(B35," "),1,1)</f>
        <v>MinXray CMDR.T.120.60.S </v>
      </c>
    </row>
    <row r="36" spans="1:3" x14ac:dyDescent="0.2">
      <c r="A36" s="4" t="s">
        <v>68</v>
      </c>
      <c r="B36" s="10" t="s">
        <v>68</v>
      </c>
      <c r="C36" s="3" t="str">
        <f>INDEX(_xlfn.TEXTSPLIT(B36," "),1,1)</f>
        <v>MinXray CMDR.T.120.60.S with</v>
      </c>
    </row>
    <row r="37" spans="1:3" x14ac:dyDescent="0.2">
      <c r="A37" s="4" t="s">
        <v>26</v>
      </c>
      <c r="B37" s="10" t="s">
        <v>26</v>
      </c>
      <c r="C37" s="3" t="str">
        <f>INDEX(_xlfn.TEXTSPLIT(B37," "),1,1)</f>
        <v>MinXray Impact </v>
      </c>
    </row>
    <row r="38" spans="1:3" x14ac:dyDescent="0.2">
      <c r="A38" s="4" t="s">
        <v>48</v>
      </c>
      <c r="B38" s="10" t="s">
        <v>48</v>
      </c>
      <c r="C38" s="3" t="str">
        <f>INDEX(_xlfn.TEXTSPLIT(B38," "),1,1)</f>
        <v>MinXray MXRSLW </v>
      </c>
    </row>
    <row r="39" spans="1:3" x14ac:dyDescent="0.2">
      <c r="A39" s="4" t="s">
        <v>56</v>
      </c>
      <c r="B39" s="10" t="s">
        <v>56</v>
      </c>
      <c r="C39" s="3" t="str">
        <f>INDEX(_xlfn.TEXTSPLIT(B39," "),1,1)</f>
        <v>MinXray TR90BH</v>
      </c>
    </row>
    <row r="40" spans="1:3" x14ac:dyDescent="0.2">
      <c r="A40" s="4" t="s">
        <v>60</v>
      </c>
      <c r="B40" s="10" t="s">
        <v>60</v>
      </c>
      <c r="C40" s="3" t="str">
        <f>INDEX(_xlfn.TEXTSPLIT(B40," "),1,1)</f>
        <v>MinXray TR90BH</v>
      </c>
    </row>
    <row r="41" spans="1:3" x14ac:dyDescent="0.2">
      <c r="A41" s="4" t="s">
        <v>51</v>
      </c>
      <c r="B41" s="10" t="s">
        <v>51</v>
      </c>
      <c r="C41" s="3" t="str">
        <f>INDEX(_xlfn.TEXTSPLIT(B41," "),1,1)</f>
        <v>OR</v>
      </c>
    </row>
    <row r="42" spans="1:3" x14ac:dyDescent="0.2">
      <c r="A42" s="4" t="s">
        <v>15</v>
      </c>
      <c r="B42" s="10" t="s">
        <v>15</v>
      </c>
      <c r="C42" s="3" t="str">
        <f>INDEX(_xlfn.TEXTSPLIT(B42," "),1,1)</f>
        <v>Sedecal -</v>
      </c>
    </row>
    <row r="43" spans="1:3" x14ac:dyDescent="0.2">
      <c r="A43" s="4" t="s">
        <v>20</v>
      </c>
      <c r="B43" s="10" t="s">
        <v>20</v>
      </c>
      <c r="C43" s="3" t="str">
        <f>INDEX(_xlfn.TEXTSPLIT(B43," "),1,1)</f>
        <v>Sedecal X-Ray</v>
      </c>
    </row>
    <row r="44" spans="1:3" x14ac:dyDescent="0.2">
      <c r="A44" s="4" t="s">
        <v>57</v>
      </c>
      <c r="B44" s="10" t="s">
        <v>57</v>
      </c>
      <c r="C44" s="3" t="str">
        <f>INDEX(_xlfn.TEXTSPLIT(B44," "),1,1)</f>
        <v>Siemens</v>
      </c>
    </row>
    <row r="45" spans="1:3" x14ac:dyDescent="0.2">
      <c r="A45" s="4" t="s">
        <v>40</v>
      </c>
      <c r="B45" s="10" t="s">
        <v>40</v>
      </c>
      <c r="C45" s="3" t="str">
        <f>INDEX(_xlfn.TEXTSPLIT(B45," "),1,1)</f>
        <v>Siemens</v>
      </c>
    </row>
    <row r="46" spans="1:3" x14ac:dyDescent="0.2">
      <c r="A46" s="4" t="s">
        <v>66</v>
      </c>
      <c r="B46" s="10" t="s">
        <v>40</v>
      </c>
      <c r="C46" s="3" t="str">
        <f>INDEX(_xlfn.TEXTSPLIT(B46," "),1,1)</f>
        <v>Siemens</v>
      </c>
    </row>
    <row r="47" spans="1:3" x14ac:dyDescent="0.2">
      <c r="A47" s="4" t="s">
        <v>61</v>
      </c>
      <c r="B47" s="10" t="s">
        <v>61</v>
      </c>
      <c r="C47" s="3" t="str">
        <f>INDEX(_xlfn.TEXTSPLIT(B47," "),1,1)</f>
        <v>Siemens</v>
      </c>
    </row>
    <row r="48" spans="1:3" x14ac:dyDescent="0.2">
      <c r="A48" s="4" t="s">
        <v>55</v>
      </c>
      <c r="B48" s="10" t="s">
        <v>35</v>
      </c>
      <c r="C48" s="3" t="str">
        <f>INDEX(_xlfn.TEXTSPLIT(B48," "),1,1)</f>
        <v>Sonosite Titan</v>
      </c>
    </row>
    <row r="49" spans="1:3" x14ac:dyDescent="0.2">
      <c r="A49" s="4" t="s">
        <v>35</v>
      </c>
      <c r="B49" s="10" t="s">
        <v>35</v>
      </c>
      <c r="C49" s="3" t="str">
        <f>INDEX(_xlfn.TEXTSPLIT(B49," "),1,1)</f>
        <v>Sonosite Titan</v>
      </c>
    </row>
    <row r="50" spans="1:3" x14ac:dyDescent="0.2">
      <c r="B50" s="3"/>
      <c r="C50" s="3"/>
    </row>
    <row r="51" spans="1:3" x14ac:dyDescent="0.2">
      <c r="B51" s="3"/>
      <c r="C51" s="3"/>
    </row>
    <row r="52" spans="1:3" x14ac:dyDescent="0.2">
      <c r="B52" s="3"/>
      <c r="C52" s="3"/>
    </row>
    <row r="53" spans="1:3" x14ac:dyDescent="0.2">
      <c r="B53" s="3"/>
      <c r="C53" s="3"/>
    </row>
    <row r="54" spans="1:3" x14ac:dyDescent="0.2">
      <c r="B54" s="3"/>
      <c r="C54" s="3"/>
    </row>
    <row r="55" spans="1:3" x14ac:dyDescent="0.2">
      <c r="B55" s="3"/>
      <c r="C55" s="3"/>
    </row>
    <row r="56" spans="1:3" x14ac:dyDescent="0.2">
      <c r="B56" s="3"/>
      <c r="C56" s="3"/>
    </row>
    <row r="57" spans="1:3" x14ac:dyDescent="0.2">
      <c r="B57" s="3"/>
      <c r="C57" s="3"/>
    </row>
    <row r="58" spans="1:3" x14ac:dyDescent="0.2">
      <c r="B58" s="3"/>
      <c r="C58" s="3"/>
    </row>
    <row r="59" spans="1:3" x14ac:dyDescent="0.2">
      <c r="B59" s="3"/>
      <c r="C59" s="3"/>
    </row>
    <row r="60" spans="1:3" x14ac:dyDescent="0.2">
      <c r="B60" s="3"/>
      <c r="C60" s="3"/>
    </row>
    <row r="61" spans="1:3" x14ac:dyDescent="0.2">
      <c r="A61" s="4"/>
      <c r="B61" s="3"/>
      <c r="C61" s="3"/>
    </row>
    <row r="62" spans="1:3" x14ac:dyDescent="0.2">
      <c r="A62" s="4"/>
      <c r="B62" s="3"/>
      <c r="C62" s="3"/>
    </row>
    <row r="63" spans="1:3" x14ac:dyDescent="0.2">
      <c r="A63" s="4" t="s">
        <v>64</v>
      </c>
      <c r="B63" s="10" t="s">
        <v>64</v>
      </c>
      <c r="C63" s="3" t="str">
        <f>INDEX(_xlfn.TEXTSPLIT(B63," "),1,1)</f>
        <v>Fujifilm</v>
      </c>
    </row>
    <row r="64" spans="1:3" x14ac:dyDescent="0.2">
      <c r="A64" s="4" t="s">
        <v>23</v>
      </c>
      <c r="B64" s="10" t="s">
        <v>44</v>
      </c>
      <c r="C64" s="3" t="str">
        <f>INDEX(_xlfn.TEXTSPLIT(B64," "),1,1)</f>
        <v>Fujifilm Sonosite M-Turbo </v>
      </c>
    </row>
    <row r="65" spans="1:3" x14ac:dyDescent="0.2">
      <c r="A65" s="4" t="s">
        <v>70</v>
      </c>
      <c r="B65" s="10" t="s">
        <v>70</v>
      </c>
      <c r="C65" s="3" t="str">
        <f>INDEX(_xlfn.TEXTSPLIT(B65," "),1,1)</f>
        <v>Fujifilm Sonosite P04107-02R </v>
      </c>
    </row>
    <row r="66" spans="1:3" x14ac:dyDescent="0.2">
      <c r="B66" s="3"/>
      <c r="C66" s="3"/>
    </row>
    <row r="67" spans="1:3" x14ac:dyDescent="0.2">
      <c r="B67" s="3"/>
      <c r="C67" s="3"/>
    </row>
    <row r="68" spans="1:3" x14ac:dyDescent="0.2">
      <c r="B68" s="3"/>
      <c r="C68" s="3"/>
    </row>
    <row r="69" spans="1:3" x14ac:dyDescent="0.2">
      <c r="B69" s="3"/>
      <c r="C69" s="3"/>
    </row>
    <row r="70" spans="1:3" x14ac:dyDescent="0.2">
      <c r="A70" s="4"/>
      <c r="B70" s="3"/>
      <c r="C70" s="3"/>
    </row>
    <row r="71" spans="1:3" x14ac:dyDescent="0.2">
      <c r="A71" s="4"/>
      <c r="B71" s="3"/>
      <c r="C7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245A-4231-0246-82AB-AFEAF58BA5D1}">
  <dimension ref="A2:V46"/>
  <sheetViews>
    <sheetView zoomScale="110" zoomScaleNormal="110" workbookViewId="0">
      <selection activeCell="G40" sqref="G40"/>
    </sheetView>
    <sheetView topLeftCell="B28" zoomScale="120" zoomScaleNormal="120" workbookViewId="1"/>
  </sheetViews>
  <sheetFormatPr baseColWidth="10" defaultRowHeight="15" x14ac:dyDescent="0.2"/>
  <cols>
    <col min="1" max="1" width="10.83203125" style="23"/>
    <col min="2" max="2" width="13.6640625" style="23" customWidth="1"/>
    <col min="3" max="3" width="26.1640625" style="23" customWidth="1"/>
    <col min="4" max="4" width="20.83203125" style="23" customWidth="1"/>
    <col min="5" max="5" width="32.5" style="23" customWidth="1"/>
    <col min="6" max="6" width="23.83203125" style="29" customWidth="1"/>
    <col min="7" max="8" width="13.5" style="23" customWidth="1"/>
    <col min="9" max="9" width="24.6640625" style="26" customWidth="1"/>
    <col min="10" max="12" width="10.83203125" style="23"/>
    <col min="13" max="13" width="29.83203125" style="23" customWidth="1"/>
    <col min="14" max="17" width="10.83203125" style="23"/>
    <col min="18" max="18" width="45.33203125" style="23" customWidth="1"/>
    <col min="19" max="19" width="47" style="23" customWidth="1"/>
    <col min="20" max="20" width="27.6640625" style="23" customWidth="1"/>
    <col min="21" max="16384" width="10.83203125" style="23"/>
  </cols>
  <sheetData>
    <row r="2" spans="1:22" ht="16" x14ac:dyDescent="0.2">
      <c r="A2" s="23" t="s">
        <v>176</v>
      </c>
      <c r="B2" s="23" t="s">
        <v>174</v>
      </c>
      <c r="C2" s="2" t="s">
        <v>0</v>
      </c>
      <c r="D2" s="2" t="s">
        <v>1</v>
      </c>
      <c r="E2" s="2" t="s">
        <v>2</v>
      </c>
      <c r="F2" s="27" t="s">
        <v>247</v>
      </c>
      <c r="G2" s="2" t="s">
        <v>275</v>
      </c>
      <c r="H2" s="2" t="s">
        <v>276</v>
      </c>
      <c r="I2" s="14" t="s">
        <v>175</v>
      </c>
      <c r="J2" s="2" t="s">
        <v>3</v>
      </c>
      <c r="K2" s="2" t="s">
        <v>4</v>
      </c>
      <c r="L2" s="2" t="s">
        <v>5</v>
      </c>
      <c r="M2" s="2" t="s">
        <v>6</v>
      </c>
    </row>
    <row r="3" spans="1:22" ht="16" x14ac:dyDescent="0.2">
      <c r="A3" s="23">
        <v>6</v>
      </c>
      <c r="C3" s="4" t="s">
        <v>24</v>
      </c>
      <c r="D3" s="4" t="s">
        <v>25</v>
      </c>
      <c r="E3" s="4" t="s">
        <v>26</v>
      </c>
      <c r="F3" s="28"/>
      <c r="G3" s="4"/>
      <c r="H3" s="4"/>
      <c r="I3" s="15" t="s">
        <v>27</v>
      </c>
      <c r="J3" s="5" t="s">
        <v>28</v>
      </c>
      <c r="K3" s="7" t="s">
        <v>17</v>
      </c>
      <c r="L3" s="7" t="s">
        <v>17</v>
      </c>
      <c r="M3" s="8" t="s">
        <v>18</v>
      </c>
    </row>
    <row r="4" spans="1:22" ht="16" x14ac:dyDescent="0.2">
      <c r="A4" s="23">
        <v>7</v>
      </c>
      <c r="C4" s="4" t="s">
        <v>29</v>
      </c>
      <c r="D4" s="4" t="s">
        <v>25</v>
      </c>
      <c r="E4" s="4" t="s">
        <v>26</v>
      </c>
      <c r="F4" s="28"/>
      <c r="G4" s="4"/>
      <c r="H4" s="4"/>
      <c r="I4" s="15" t="s">
        <v>27</v>
      </c>
      <c r="J4" s="5" t="s">
        <v>30</v>
      </c>
      <c r="K4" s="7" t="s">
        <v>17</v>
      </c>
      <c r="L4" s="7" t="s">
        <v>17</v>
      </c>
      <c r="M4" s="8" t="s">
        <v>18</v>
      </c>
    </row>
    <row r="5" spans="1:22" x14ac:dyDescent="0.2">
      <c r="A5" s="23">
        <v>37</v>
      </c>
      <c r="C5" s="4" t="s">
        <v>67</v>
      </c>
      <c r="D5" s="4" t="s">
        <v>34</v>
      </c>
      <c r="E5" s="4" t="s">
        <v>54</v>
      </c>
      <c r="F5" s="28"/>
      <c r="G5" s="25" t="s">
        <v>217</v>
      </c>
      <c r="H5" s="25"/>
      <c r="I5" s="15"/>
      <c r="J5" s="5" t="s">
        <v>10</v>
      </c>
      <c r="K5" s="7" t="s">
        <v>17</v>
      </c>
      <c r="L5" s="7" t="s">
        <v>17</v>
      </c>
      <c r="M5" s="8" t="s">
        <v>18</v>
      </c>
      <c r="U5" s="23" t="s">
        <v>75</v>
      </c>
      <c r="V5" s="23" t="s">
        <v>76</v>
      </c>
    </row>
    <row r="6" spans="1:22" x14ac:dyDescent="0.2">
      <c r="A6" s="23">
        <v>36</v>
      </c>
      <c r="C6" s="4" t="s">
        <v>67</v>
      </c>
      <c r="D6" s="4" t="s">
        <v>34</v>
      </c>
      <c r="E6" s="4" t="s">
        <v>70</v>
      </c>
      <c r="F6" s="28"/>
      <c r="G6" s="25" t="s">
        <v>87</v>
      </c>
      <c r="H6" s="25"/>
      <c r="I6" s="15"/>
      <c r="J6" s="5" t="s">
        <v>10</v>
      </c>
      <c r="K6" s="7" t="s">
        <v>17</v>
      </c>
      <c r="L6" s="7" t="s">
        <v>17</v>
      </c>
      <c r="M6" s="8" t="s">
        <v>18</v>
      </c>
    </row>
    <row r="7" spans="1:22" x14ac:dyDescent="0.2">
      <c r="A7" s="23">
        <v>34</v>
      </c>
      <c r="C7" s="4" t="s">
        <v>67</v>
      </c>
      <c r="D7" s="4" t="s">
        <v>37</v>
      </c>
      <c r="E7" s="4" t="s">
        <v>68</v>
      </c>
      <c r="F7" s="28"/>
      <c r="G7" s="25" t="s">
        <v>94</v>
      </c>
      <c r="H7" s="25"/>
      <c r="I7" s="15"/>
      <c r="J7" s="5" t="s">
        <v>10</v>
      </c>
      <c r="K7" s="7" t="s">
        <v>17</v>
      </c>
      <c r="L7" s="7" t="s">
        <v>17</v>
      </c>
      <c r="M7" s="8" t="s">
        <v>18</v>
      </c>
    </row>
    <row r="8" spans="1:22" x14ac:dyDescent="0.2">
      <c r="A8" s="23">
        <v>35</v>
      </c>
      <c r="C8" s="4" t="s">
        <v>67</v>
      </c>
      <c r="D8" s="4" t="s">
        <v>69</v>
      </c>
      <c r="E8" s="4" t="s">
        <v>40</v>
      </c>
      <c r="F8" s="28"/>
      <c r="G8" s="25" t="s">
        <v>214</v>
      </c>
      <c r="H8" s="25"/>
      <c r="I8" s="15"/>
      <c r="J8" s="5" t="s">
        <v>10</v>
      </c>
      <c r="K8" s="7" t="s">
        <v>41</v>
      </c>
      <c r="L8" s="7" t="s">
        <v>41</v>
      </c>
      <c r="M8" s="8" t="s">
        <v>13</v>
      </c>
    </row>
    <row r="9" spans="1:22" x14ac:dyDescent="0.2">
      <c r="A9" s="23">
        <v>4</v>
      </c>
      <c r="C9" s="4" t="s">
        <v>7</v>
      </c>
      <c r="D9" s="4" t="s">
        <v>21</v>
      </c>
      <c r="E9" s="4" t="s">
        <v>22</v>
      </c>
      <c r="F9" s="28"/>
      <c r="G9" s="25" t="s">
        <v>219</v>
      </c>
      <c r="H9" s="25"/>
      <c r="I9" s="15"/>
      <c r="J9" s="7" t="s">
        <v>16</v>
      </c>
      <c r="K9" s="7" t="s">
        <v>17</v>
      </c>
      <c r="L9" s="7" t="s">
        <v>17</v>
      </c>
      <c r="M9" s="8" t="s">
        <v>18</v>
      </c>
    </row>
    <row r="10" spans="1:22" x14ac:dyDescent="0.2">
      <c r="A10" s="23">
        <v>5</v>
      </c>
      <c r="C10" s="4" t="s">
        <v>7</v>
      </c>
      <c r="D10" s="4" t="s">
        <v>21</v>
      </c>
      <c r="E10" s="4" t="s">
        <v>23</v>
      </c>
      <c r="F10" s="28"/>
      <c r="G10" s="19" t="s">
        <v>220</v>
      </c>
      <c r="H10" s="19"/>
      <c r="I10" s="15"/>
      <c r="J10" s="7" t="s">
        <v>16</v>
      </c>
      <c r="K10" s="7" t="s">
        <v>17</v>
      </c>
      <c r="L10" s="7" t="s">
        <v>17</v>
      </c>
      <c r="M10" s="8" t="s">
        <v>18</v>
      </c>
    </row>
    <row r="11" spans="1:22" x14ac:dyDescent="0.2">
      <c r="A11" s="23">
        <v>1</v>
      </c>
      <c r="C11" s="4" t="s">
        <v>7</v>
      </c>
      <c r="D11" s="4" t="s">
        <v>8</v>
      </c>
      <c r="E11" s="4" t="s">
        <v>9</v>
      </c>
      <c r="F11" s="28"/>
      <c r="G11" s="24" t="s">
        <v>242</v>
      </c>
      <c r="H11" s="24"/>
      <c r="I11" s="15"/>
      <c r="J11" s="5" t="s">
        <v>10</v>
      </c>
      <c r="K11" s="6" t="s">
        <v>11</v>
      </c>
      <c r="L11" s="7" t="s">
        <v>12</v>
      </c>
      <c r="M11" s="8" t="s">
        <v>13</v>
      </c>
    </row>
    <row r="12" spans="1:22" x14ac:dyDescent="0.2">
      <c r="A12" s="23">
        <v>2</v>
      </c>
      <c r="C12" s="4" t="s">
        <v>7</v>
      </c>
      <c r="D12" s="4" t="s">
        <v>14</v>
      </c>
      <c r="E12" s="4" t="s">
        <v>15</v>
      </c>
      <c r="F12" s="28"/>
      <c r="G12" s="25" t="s">
        <v>203</v>
      </c>
      <c r="H12" s="25"/>
      <c r="I12" s="15"/>
      <c r="J12" s="7" t="s">
        <v>16</v>
      </c>
      <c r="K12" s="7" t="s">
        <v>17</v>
      </c>
      <c r="L12" s="7" t="s">
        <v>17</v>
      </c>
      <c r="M12" s="8" t="s">
        <v>18</v>
      </c>
    </row>
    <row r="13" spans="1:22" x14ac:dyDescent="0.2">
      <c r="A13" s="23">
        <v>3</v>
      </c>
      <c r="C13" s="4" t="s">
        <v>7</v>
      </c>
      <c r="D13" s="4" t="s">
        <v>19</v>
      </c>
      <c r="E13" s="16" t="s">
        <v>20</v>
      </c>
      <c r="F13" s="19" t="s">
        <v>208</v>
      </c>
      <c r="G13" s="25" t="s">
        <v>207</v>
      </c>
      <c r="H13" s="25"/>
      <c r="I13" s="15"/>
      <c r="J13" s="7" t="s">
        <v>16</v>
      </c>
      <c r="K13" s="7" t="s">
        <v>17</v>
      </c>
      <c r="L13" s="7" t="s">
        <v>17</v>
      </c>
      <c r="M13" s="8" t="s">
        <v>18</v>
      </c>
    </row>
    <row r="14" spans="1:22" x14ac:dyDescent="0.2">
      <c r="A14" s="23">
        <v>31</v>
      </c>
      <c r="C14" s="4" t="s">
        <v>62</v>
      </c>
      <c r="D14" s="4" t="s">
        <v>34</v>
      </c>
      <c r="E14" s="4" t="s">
        <v>46</v>
      </c>
      <c r="F14" s="28"/>
      <c r="G14" s="1" t="s">
        <v>233</v>
      </c>
      <c r="H14" s="1"/>
      <c r="I14" s="15"/>
      <c r="J14" s="5" t="s">
        <v>10</v>
      </c>
      <c r="K14" s="7" t="s">
        <v>17</v>
      </c>
      <c r="L14" s="7" t="s">
        <v>17</v>
      </c>
      <c r="M14" s="8" t="s">
        <v>18</v>
      </c>
    </row>
    <row r="15" spans="1:22" x14ac:dyDescent="0.2">
      <c r="A15" s="23">
        <v>32</v>
      </c>
      <c r="C15" s="4" t="s">
        <v>62</v>
      </c>
      <c r="D15" s="4" t="s">
        <v>37</v>
      </c>
      <c r="E15" s="4" t="s">
        <v>64</v>
      </c>
      <c r="F15" s="28"/>
      <c r="G15" s="1" t="s">
        <v>229</v>
      </c>
      <c r="H15" s="1"/>
      <c r="I15" s="15"/>
      <c r="J15" s="5" t="s">
        <v>10</v>
      </c>
      <c r="K15" s="7" t="s">
        <v>17</v>
      </c>
      <c r="L15" s="7" t="s">
        <v>17</v>
      </c>
      <c r="M15" s="8" t="s">
        <v>18</v>
      </c>
    </row>
    <row r="16" spans="1:22" x14ac:dyDescent="0.2">
      <c r="A16" s="23">
        <v>30</v>
      </c>
      <c r="C16" s="4" t="s">
        <v>62</v>
      </c>
      <c r="D16" s="4" t="s">
        <v>34</v>
      </c>
      <c r="E16" s="4" t="s">
        <v>63</v>
      </c>
      <c r="F16" s="28"/>
      <c r="G16" s="4" t="s">
        <v>223</v>
      </c>
      <c r="H16" s="4"/>
      <c r="I16" s="15"/>
      <c r="J16" s="5" t="s">
        <v>10</v>
      </c>
      <c r="K16" s="7" t="s">
        <v>17</v>
      </c>
      <c r="L16" s="7" t="s">
        <v>17</v>
      </c>
      <c r="M16" s="8" t="s">
        <v>18</v>
      </c>
    </row>
    <row r="17" spans="1:13" x14ac:dyDescent="0.2">
      <c r="A17" s="23">
        <v>33</v>
      </c>
      <c r="C17" s="4" t="s">
        <v>62</v>
      </c>
      <c r="D17" s="4" t="s">
        <v>65</v>
      </c>
      <c r="E17" s="16" t="s">
        <v>66</v>
      </c>
      <c r="F17" s="19" t="s">
        <v>248</v>
      </c>
      <c r="G17" s="1" t="s">
        <v>239</v>
      </c>
      <c r="H17" s="1"/>
      <c r="I17" s="15"/>
      <c r="J17" s="5" t="s">
        <v>10</v>
      </c>
      <c r="K17" s="7" t="s">
        <v>41</v>
      </c>
      <c r="L17" s="7" t="s">
        <v>41</v>
      </c>
      <c r="M17" s="8" t="s">
        <v>13</v>
      </c>
    </row>
    <row r="18" spans="1:13" ht="16" x14ac:dyDescent="0.2">
      <c r="A18" s="23">
        <v>28</v>
      </c>
      <c r="C18" s="4" t="s">
        <v>58</v>
      </c>
      <c r="D18" s="4" t="s">
        <v>21</v>
      </c>
      <c r="E18" s="4" t="s">
        <v>54</v>
      </c>
      <c r="F18" s="28"/>
      <c r="G18" s="31">
        <v>35038429779</v>
      </c>
      <c r="H18" s="30"/>
      <c r="I18" s="15" t="s">
        <v>271</v>
      </c>
      <c r="J18" s="5" t="s">
        <v>10</v>
      </c>
      <c r="K18" s="7" t="s">
        <v>17</v>
      </c>
      <c r="L18" s="7" t="s">
        <v>17</v>
      </c>
      <c r="M18" s="8" t="s">
        <v>18</v>
      </c>
    </row>
    <row r="19" spans="1:13" x14ac:dyDescent="0.2">
      <c r="A19" s="23">
        <v>29</v>
      </c>
      <c r="C19" s="4" t="s">
        <v>58</v>
      </c>
      <c r="D19" s="4" t="s">
        <v>59</v>
      </c>
      <c r="E19" s="4" t="s">
        <v>46</v>
      </c>
      <c r="F19" s="28"/>
      <c r="G19" s="19" t="s">
        <v>118</v>
      </c>
      <c r="H19" s="19"/>
      <c r="I19" s="15"/>
      <c r="J19" s="5" t="s">
        <v>10</v>
      </c>
      <c r="K19" s="7" t="s">
        <v>17</v>
      </c>
      <c r="L19" s="7" t="s">
        <v>17</v>
      </c>
      <c r="M19" s="8" t="s">
        <v>18</v>
      </c>
    </row>
    <row r="20" spans="1:13" x14ac:dyDescent="0.2">
      <c r="A20" s="23">
        <v>26</v>
      </c>
      <c r="C20" s="4" t="s">
        <v>58</v>
      </c>
      <c r="D20" s="4" t="s">
        <v>59</v>
      </c>
      <c r="E20" s="4" t="s">
        <v>60</v>
      </c>
      <c r="F20" s="28"/>
      <c r="G20" s="19" t="s">
        <v>238</v>
      </c>
      <c r="H20" s="19"/>
      <c r="I20" s="15"/>
      <c r="J20" s="5" t="s">
        <v>10</v>
      </c>
      <c r="K20" s="7" t="s">
        <v>17</v>
      </c>
      <c r="L20" s="7" t="s">
        <v>17</v>
      </c>
      <c r="M20" s="8" t="s">
        <v>18</v>
      </c>
    </row>
    <row r="21" spans="1:13" ht="16" x14ac:dyDescent="0.2">
      <c r="A21" s="23">
        <v>27</v>
      </c>
      <c r="C21" s="4" t="s">
        <v>58</v>
      </c>
      <c r="D21" s="4" t="s">
        <v>39</v>
      </c>
      <c r="E21" s="4" t="s">
        <v>61</v>
      </c>
      <c r="F21" s="28"/>
      <c r="G21" s="25">
        <v>87406322849</v>
      </c>
      <c r="H21" s="13"/>
      <c r="I21" s="15"/>
      <c r="J21" s="5" t="s">
        <v>10</v>
      </c>
      <c r="K21" s="7" t="s">
        <v>41</v>
      </c>
      <c r="L21" s="7" t="s">
        <v>41</v>
      </c>
      <c r="M21" s="8" t="s">
        <v>13</v>
      </c>
    </row>
    <row r="22" spans="1:13" ht="16" x14ac:dyDescent="0.2">
      <c r="A22" s="23">
        <v>22</v>
      </c>
      <c r="C22" s="4" t="s">
        <v>53</v>
      </c>
      <c r="D22" s="4" t="s">
        <v>34</v>
      </c>
      <c r="E22" s="4" t="s">
        <v>54</v>
      </c>
      <c r="F22" s="28"/>
      <c r="G22" s="31">
        <v>35038429779</v>
      </c>
      <c r="H22" s="30"/>
      <c r="I22" s="15" t="s">
        <v>272</v>
      </c>
      <c r="J22" s="5" t="s">
        <v>10</v>
      </c>
      <c r="K22" s="7" t="s">
        <v>17</v>
      </c>
      <c r="L22" s="7" t="s">
        <v>17</v>
      </c>
      <c r="M22" s="8" t="s">
        <v>18</v>
      </c>
    </row>
    <row r="23" spans="1:13" x14ac:dyDescent="0.2">
      <c r="A23" s="23">
        <v>24</v>
      </c>
      <c r="C23" s="4" t="s">
        <v>53</v>
      </c>
      <c r="D23" s="4" t="s">
        <v>37</v>
      </c>
      <c r="E23" s="4" t="s">
        <v>56</v>
      </c>
      <c r="F23" s="28"/>
      <c r="G23" s="19">
        <v>15468930796</v>
      </c>
      <c r="H23" s="19"/>
      <c r="I23" s="15"/>
      <c r="J23" s="5" t="s">
        <v>10</v>
      </c>
      <c r="K23" s="7" t="s">
        <v>17</v>
      </c>
      <c r="L23" s="7" t="s">
        <v>17</v>
      </c>
      <c r="M23" s="8" t="s">
        <v>18</v>
      </c>
    </row>
    <row r="24" spans="1:13" ht="16" x14ac:dyDescent="0.2">
      <c r="A24" s="23">
        <v>25</v>
      </c>
      <c r="C24" s="4" t="s">
        <v>53</v>
      </c>
      <c r="D24" s="4" t="s">
        <v>39</v>
      </c>
      <c r="E24" s="4" t="s">
        <v>57</v>
      </c>
      <c r="F24" s="28">
        <v>862002</v>
      </c>
      <c r="G24" s="25">
        <v>87406322849</v>
      </c>
      <c r="H24" s="13"/>
      <c r="I24" s="15" t="s">
        <v>273</v>
      </c>
      <c r="J24" s="5" t="s">
        <v>10</v>
      </c>
      <c r="K24" s="7" t="s">
        <v>41</v>
      </c>
      <c r="L24" s="7" t="s">
        <v>41</v>
      </c>
      <c r="M24" s="8" t="s">
        <v>13</v>
      </c>
    </row>
    <row r="25" spans="1:13" ht="48" x14ac:dyDescent="0.2">
      <c r="A25" s="23">
        <v>23</v>
      </c>
      <c r="C25" s="4" t="s">
        <v>53</v>
      </c>
      <c r="D25" s="4" t="s">
        <v>34</v>
      </c>
      <c r="E25" s="4" t="s">
        <v>55</v>
      </c>
      <c r="F25" s="28"/>
      <c r="G25" s="19" t="s">
        <v>108</v>
      </c>
      <c r="H25" s="19"/>
      <c r="I25" s="15" t="s">
        <v>274</v>
      </c>
      <c r="J25" s="5" t="s">
        <v>10</v>
      </c>
      <c r="K25" s="7" t="s">
        <v>17</v>
      </c>
      <c r="L25" s="7" t="s">
        <v>17</v>
      </c>
      <c r="M25" s="8" t="s">
        <v>18</v>
      </c>
    </row>
    <row r="26" spans="1:13" x14ac:dyDescent="0.2">
      <c r="A26" s="23">
        <v>21</v>
      </c>
      <c r="C26" s="4" t="s">
        <v>49</v>
      </c>
      <c r="D26" s="4" t="s">
        <v>34</v>
      </c>
      <c r="E26" s="4" t="s">
        <v>46</v>
      </c>
      <c r="F26" s="28"/>
      <c r="G26" s="19" t="s">
        <v>234</v>
      </c>
      <c r="H26" s="19" t="s">
        <v>235</v>
      </c>
      <c r="I26" s="15"/>
      <c r="J26" s="5" t="s">
        <v>32</v>
      </c>
      <c r="K26" s="7" t="s">
        <v>17</v>
      </c>
      <c r="L26" s="7" t="s">
        <v>17</v>
      </c>
      <c r="M26" s="8" t="s">
        <v>18</v>
      </c>
    </row>
    <row r="27" spans="1:13" ht="16" x14ac:dyDescent="0.2">
      <c r="A27" s="23">
        <v>20</v>
      </c>
      <c r="C27" s="4" t="s">
        <v>49</v>
      </c>
      <c r="D27" s="4" t="s">
        <v>50</v>
      </c>
      <c r="E27" s="4" t="s">
        <v>51</v>
      </c>
      <c r="F27" s="28"/>
      <c r="G27" s="19" t="s">
        <v>236</v>
      </c>
      <c r="H27" s="4"/>
      <c r="I27" s="15" t="s">
        <v>277</v>
      </c>
      <c r="J27" s="5" t="s">
        <v>32</v>
      </c>
      <c r="K27" s="7" t="s">
        <v>17</v>
      </c>
      <c r="L27" s="7" t="s">
        <v>17</v>
      </c>
      <c r="M27" s="8" t="s">
        <v>52</v>
      </c>
    </row>
    <row r="28" spans="1:13" x14ac:dyDescent="0.2">
      <c r="A28" s="23">
        <v>16</v>
      </c>
      <c r="C28" s="4" t="s">
        <v>45</v>
      </c>
      <c r="D28" s="4" t="s">
        <v>34</v>
      </c>
      <c r="E28" s="4" t="s">
        <v>46</v>
      </c>
      <c r="F28" s="28"/>
      <c r="G28" s="19" t="s">
        <v>123</v>
      </c>
      <c r="H28" s="4"/>
      <c r="I28" s="15"/>
      <c r="J28" s="5" t="s">
        <v>10</v>
      </c>
      <c r="K28" s="7" t="s">
        <v>17</v>
      </c>
      <c r="L28" s="7" t="s">
        <v>17</v>
      </c>
      <c r="M28" s="8" t="s">
        <v>18</v>
      </c>
    </row>
    <row r="29" spans="1:13" x14ac:dyDescent="0.2">
      <c r="A29" s="23">
        <v>17</v>
      </c>
      <c r="C29" s="4" t="s">
        <v>45</v>
      </c>
      <c r="D29" s="4" t="s">
        <v>34</v>
      </c>
      <c r="E29" s="4" t="s">
        <v>44</v>
      </c>
      <c r="F29" s="28"/>
      <c r="G29" s="19" t="s">
        <v>124</v>
      </c>
      <c r="H29" s="4"/>
      <c r="I29" s="15"/>
      <c r="J29" s="5" t="s">
        <v>10</v>
      </c>
      <c r="K29" s="7" t="s">
        <v>17</v>
      </c>
      <c r="L29" s="7" t="s">
        <v>17</v>
      </c>
      <c r="M29" s="8" t="s">
        <v>18</v>
      </c>
    </row>
    <row r="30" spans="1:13" ht="16" x14ac:dyDescent="0.2">
      <c r="A30" s="23">
        <v>18</v>
      </c>
      <c r="C30" s="4" t="s">
        <v>45</v>
      </c>
      <c r="D30" s="4" t="s">
        <v>47</v>
      </c>
      <c r="E30" s="4" t="s">
        <v>48</v>
      </c>
      <c r="F30" s="28"/>
      <c r="G30" s="19">
        <v>98863463053</v>
      </c>
      <c r="H30" s="13"/>
      <c r="I30" s="15"/>
      <c r="J30" s="5" t="s">
        <v>10</v>
      </c>
      <c r="K30" s="7" t="s">
        <v>41</v>
      </c>
      <c r="L30" s="7" t="s">
        <v>17</v>
      </c>
      <c r="M30" s="8" t="s">
        <v>13</v>
      </c>
    </row>
    <row r="31" spans="1:13" ht="16" x14ac:dyDescent="0.2">
      <c r="A31" s="23">
        <v>19</v>
      </c>
      <c r="C31" s="4" t="s">
        <v>45</v>
      </c>
      <c r="D31" s="4" t="s">
        <v>39</v>
      </c>
      <c r="E31" s="4" t="s">
        <v>40</v>
      </c>
      <c r="F31" s="28"/>
      <c r="G31" t="s">
        <v>278</v>
      </c>
      <c r="H31" s="4"/>
      <c r="I31" s="15"/>
      <c r="J31" s="5" t="s">
        <v>10</v>
      </c>
      <c r="K31" s="7" t="s">
        <v>41</v>
      </c>
      <c r="L31" s="7" t="s">
        <v>41</v>
      </c>
      <c r="M31" s="8" t="s">
        <v>13</v>
      </c>
    </row>
    <row r="32" spans="1:13" ht="16" x14ac:dyDescent="0.2">
      <c r="A32" s="23">
        <v>15</v>
      </c>
      <c r="C32" s="4" t="s">
        <v>42</v>
      </c>
      <c r="D32" s="4" t="s">
        <v>34</v>
      </c>
      <c r="E32" s="4" t="s">
        <v>44</v>
      </c>
      <c r="F32" s="28"/>
      <c r="G32" s="24" t="s">
        <v>267</v>
      </c>
      <c r="H32"/>
      <c r="I32" s="15"/>
      <c r="J32" s="5" t="s">
        <v>10</v>
      </c>
      <c r="K32" s="7" t="s">
        <v>17</v>
      </c>
      <c r="L32" s="7" t="s">
        <v>17</v>
      </c>
      <c r="M32" s="8" t="s">
        <v>18</v>
      </c>
    </row>
    <row r="33" spans="1:13" ht="16" x14ac:dyDescent="0.2">
      <c r="A33" s="23">
        <v>14</v>
      </c>
      <c r="C33" s="4" t="s">
        <v>42</v>
      </c>
      <c r="D33" s="4" t="s">
        <v>37</v>
      </c>
      <c r="E33" s="4" t="s">
        <v>43</v>
      </c>
      <c r="F33" s="28"/>
      <c r="G33" s="24" t="s">
        <v>258</v>
      </c>
      <c r="H33"/>
      <c r="I33" s="15"/>
      <c r="J33" s="5" t="s">
        <v>10</v>
      </c>
      <c r="K33" s="7" t="s">
        <v>17</v>
      </c>
      <c r="L33" s="7" t="s">
        <v>17</v>
      </c>
      <c r="M33" s="8" t="s">
        <v>18</v>
      </c>
    </row>
    <row r="34" spans="1:13" ht="16" x14ac:dyDescent="0.2">
      <c r="A34" s="23">
        <v>13</v>
      </c>
      <c r="C34" s="4" t="s">
        <v>42</v>
      </c>
      <c r="D34" s="4" t="s">
        <v>39</v>
      </c>
      <c r="E34" s="4" t="s">
        <v>40</v>
      </c>
      <c r="F34" s="28"/>
      <c r="G34" s="24" t="s">
        <v>269</v>
      </c>
      <c r="H34"/>
      <c r="I34" s="15"/>
      <c r="J34" s="5" t="s">
        <v>10</v>
      </c>
      <c r="K34" s="7" t="s">
        <v>41</v>
      </c>
      <c r="L34" s="7" t="s">
        <v>41</v>
      </c>
      <c r="M34" s="8" t="s">
        <v>13</v>
      </c>
    </row>
    <row r="35" spans="1:13" ht="16" x14ac:dyDescent="0.2">
      <c r="A35" s="23">
        <v>8</v>
      </c>
      <c r="C35" s="4" t="s">
        <v>31</v>
      </c>
      <c r="D35" s="4" t="s">
        <v>25</v>
      </c>
      <c r="E35" s="4" t="s">
        <v>26</v>
      </c>
      <c r="F35" s="28"/>
      <c r="G35" s="4"/>
      <c r="H35" s="4"/>
      <c r="I35" s="15" t="s">
        <v>27</v>
      </c>
      <c r="J35" s="5" t="s">
        <v>32</v>
      </c>
      <c r="K35" s="7" t="s">
        <v>17</v>
      </c>
      <c r="L35" s="7" t="s">
        <v>17</v>
      </c>
      <c r="M35" s="8" t="s">
        <v>18</v>
      </c>
    </row>
    <row r="36" spans="1:13" x14ac:dyDescent="0.2">
      <c r="A36" s="23">
        <v>10</v>
      </c>
      <c r="C36" s="4" t="s">
        <v>33</v>
      </c>
      <c r="D36" s="4" t="s">
        <v>37</v>
      </c>
      <c r="E36" s="4" t="s">
        <v>38</v>
      </c>
      <c r="F36" s="28"/>
      <c r="G36" s="24" t="s">
        <v>196</v>
      </c>
      <c r="H36" s="24"/>
      <c r="I36" s="15"/>
      <c r="J36" s="5" t="s">
        <v>10</v>
      </c>
      <c r="K36" s="7" t="s">
        <v>17</v>
      </c>
      <c r="L36" s="7" t="s">
        <v>17</v>
      </c>
      <c r="M36" s="8" t="s">
        <v>18</v>
      </c>
    </row>
    <row r="37" spans="1:13" x14ac:dyDescent="0.2">
      <c r="A37" s="23">
        <v>11</v>
      </c>
      <c r="C37" s="4" t="s">
        <v>33</v>
      </c>
      <c r="D37" s="4" t="s">
        <v>39</v>
      </c>
      <c r="E37" s="4" t="s">
        <v>40</v>
      </c>
      <c r="F37" s="28"/>
      <c r="G37" s="24" t="s">
        <v>200</v>
      </c>
      <c r="H37" s="24"/>
      <c r="I37" s="15"/>
      <c r="J37" s="5" t="s">
        <v>10</v>
      </c>
      <c r="K37" s="7" t="s">
        <v>41</v>
      </c>
      <c r="L37" s="7" t="s">
        <v>41</v>
      </c>
      <c r="M37" s="8" t="s">
        <v>13</v>
      </c>
    </row>
    <row r="38" spans="1:13" x14ac:dyDescent="0.2">
      <c r="A38" s="23">
        <v>9</v>
      </c>
      <c r="C38" s="4" t="s">
        <v>33</v>
      </c>
      <c r="D38" s="4" t="s">
        <v>34</v>
      </c>
      <c r="E38" s="4" t="s">
        <v>35</v>
      </c>
      <c r="F38" s="28"/>
      <c r="G38" s="24" t="s">
        <v>184</v>
      </c>
      <c r="H38" s="24"/>
      <c r="I38" s="15"/>
      <c r="J38" s="5" t="s">
        <v>10</v>
      </c>
      <c r="K38" s="7" t="s">
        <v>17</v>
      </c>
      <c r="L38" s="7" t="s">
        <v>17</v>
      </c>
      <c r="M38" s="8" t="s">
        <v>36</v>
      </c>
    </row>
    <row r="39" spans="1:13" ht="32" x14ac:dyDescent="0.2">
      <c r="A39" s="23">
        <v>12</v>
      </c>
      <c r="C39" s="4" t="s">
        <v>33</v>
      </c>
      <c r="D39" s="4" t="s">
        <v>34</v>
      </c>
      <c r="E39" s="4" t="s">
        <v>35</v>
      </c>
      <c r="F39" s="28"/>
      <c r="G39" s="4"/>
      <c r="H39" s="4"/>
      <c r="I39" s="15" t="s">
        <v>193</v>
      </c>
      <c r="J39" s="5" t="s">
        <v>10</v>
      </c>
      <c r="K39" s="7" t="s">
        <v>17</v>
      </c>
      <c r="L39" s="7" t="s">
        <v>17</v>
      </c>
      <c r="M39" s="8" t="s">
        <v>18</v>
      </c>
    </row>
    <row r="40" spans="1:13" x14ac:dyDescent="0.2">
      <c r="C40" s="4"/>
      <c r="D40" s="4"/>
      <c r="I40" s="15"/>
      <c r="J40" s="5"/>
      <c r="K40" s="7"/>
      <c r="L40" s="7"/>
      <c r="M40" s="8"/>
    </row>
    <row r="41" spans="1:13" x14ac:dyDescent="0.2">
      <c r="C41" s="4"/>
      <c r="D41" s="4"/>
      <c r="I41" s="15"/>
      <c r="J41" s="5"/>
      <c r="K41" s="7"/>
      <c r="L41" s="7"/>
      <c r="M41" s="8"/>
    </row>
    <row r="42" spans="1:13" x14ac:dyDescent="0.2">
      <c r="C42" s="4"/>
      <c r="D42" s="4"/>
      <c r="I42" s="15"/>
      <c r="J42" s="5"/>
      <c r="K42" s="7"/>
      <c r="L42" s="7"/>
      <c r="M42" s="8"/>
    </row>
    <row r="43" spans="1:13" x14ac:dyDescent="0.2">
      <c r="C43" s="4"/>
      <c r="D43" s="4"/>
      <c r="E43" s="4"/>
      <c r="F43" s="28"/>
      <c r="G43" s="4"/>
      <c r="H43" s="4"/>
      <c r="I43" s="15"/>
      <c r="J43" s="5"/>
      <c r="K43" s="7"/>
      <c r="L43" s="7"/>
      <c r="M43" s="8"/>
    </row>
    <row r="44" spans="1:13" x14ac:dyDescent="0.2">
      <c r="C44" s="4"/>
      <c r="D44" s="4"/>
      <c r="E44" s="4"/>
      <c r="F44" s="28"/>
      <c r="G44" s="4"/>
      <c r="H44" s="4"/>
      <c r="I44" s="15"/>
      <c r="J44" s="5"/>
      <c r="K44" s="7"/>
      <c r="L44" s="7"/>
      <c r="M44" s="8"/>
    </row>
    <row r="45" spans="1:13" x14ac:dyDescent="0.2">
      <c r="C45" s="4"/>
      <c r="D45" s="4"/>
      <c r="E45" s="4"/>
      <c r="F45" s="28"/>
      <c r="G45" s="4"/>
      <c r="H45" s="4"/>
      <c r="I45" s="15"/>
      <c r="J45" s="5"/>
      <c r="K45" s="7"/>
      <c r="L45" s="7"/>
      <c r="M45" s="8"/>
    </row>
    <row r="46" spans="1:13" x14ac:dyDescent="0.2">
      <c r="C46" s="4"/>
      <c r="D46" s="4"/>
      <c r="E46" s="4"/>
      <c r="F46" s="28"/>
      <c r="G46" s="4"/>
      <c r="H46" s="4"/>
      <c r="I46" s="15"/>
      <c r="J46" s="5"/>
      <c r="K46" s="7"/>
      <c r="L46" s="7"/>
      <c r="M46" s="8"/>
    </row>
  </sheetData>
  <sortState xmlns:xlrd2="http://schemas.microsoft.com/office/spreadsheetml/2017/richdata2" ref="A3:M39">
    <sortCondition ref="C3:C39"/>
    <sortCondition ref="E3:E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FFFE-87EF-B04A-B77C-62C1627A40EB}">
  <dimension ref="A1:V54"/>
  <sheetViews>
    <sheetView tabSelected="1" topLeftCell="A6" zoomScale="120" zoomScaleNormal="120" workbookViewId="0">
      <selection activeCell="G30" sqref="G30"/>
    </sheetView>
    <sheetView tabSelected="1" topLeftCell="A10" workbookViewId="1">
      <selection activeCell="F35" sqref="F35"/>
    </sheetView>
  </sheetViews>
  <sheetFormatPr baseColWidth="10" defaultRowHeight="16" x14ac:dyDescent="0.2"/>
  <cols>
    <col min="1" max="1" width="20" customWidth="1"/>
    <col min="2" max="2" width="34" customWidth="1"/>
    <col min="3" max="3" width="13" customWidth="1"/>
    <col min="4" max="4" width="40.5" customWidth="1"/>
    <col min="5" max="5" width="34" customWidth="1"/>
    <col min="6" max="6" width="21" style="13" customWidth="1"/>
    <col min="7" max="7" width="60" style="13" customWidth="1"/>
    <col min="8" max="8" width="20" customWidth="1"/>
    <col min="9" max="9" width="19.6640625" style="13" customWidth="1"/>
    <col min="10" max="10" width="19" style="13" customWidth="1"/>
    <col min="11" max="11" width="24.6640625" style="13" customWidth="1"/>
    <col min="12" max="12" width="16.33203125" customWidth="1"/>
    <col min="16" max="16" width="11" bestFit="1" customWidth="1"/>
    <col min="18" max="18" width="12.5" bestFit="1" customWidth="1"/>
    <col min="21" max="21" width="11" bestFit="1" customWidth="1"/>
    <col min="22" max="22" width="27.83203125" customWidth="1"/>
  </cols>
  <sheetData>
    <row r="1" spans="1:22" s="12" customFormat="1" x14ac:dyDescent="0.2">
      <c r="A1" s="17" t="s">
        <v>155</v>
      </c>
      <c r="B1" s="17" t="s">
        <v>156</v>
      </c>
      <c r="C1" s="17" t="s">
        <v>167</v>
      </c>
      <c r="D1" s="17" t="s">
        <v>177</v>
      </c>
      <c r="E1" s="17" t="s">
        <v>173</v>
      </c>
      <c r="F1" s="18" t="s">
        <v>139</v>
      </c>
      <c r="G1" s="17" t="s">
        <v>140</v>
      </c>
      <c r="H1" s="17" t="s">
        <v>178</v>
      </c>
      <c r="I1" s="18" t="s">
        <v>141</v>
      </c>
      <c r="J1" s="18" t="s">
        <v>143</v>
      </c>
      <c r="K1" s="17" t="s">
        <v>144</v>
      </c>
      <c r="L1" s="17" t="s">
        <v>145</v>
      </c>
      <c r="M1" s="17" t="s">
        <v>146</v>
      </c>
      <c r="N1" s="17" t="s">
        <v>147</v>
      </c>
      <c r="O1" s="17" t="s">
        <v>148</v>
      </c>
      <c r="P1" s="17" t="s">
        <v>149</v>
      </c>
      <c r="Q1" s="17" t="s">
        <v>150</v>
      </c>
      <c r="R1" s="17" t="s">
        <v>151</v>
      </c>
      <c r="S1" s="17" t="s">
        <v>152</v>
      </c>
      <c r="T1" s="17" t="s">
        <v>153</v>
      </c>
      <c r="V1" s="12" t="s">
        <v>254</v>
      </c>
    </row>
    <row r="2" spans="1:22" x14ac:dyDescent="0.2">
      <c r="A2" s="1" t="s">
        <v>154</v>
      </c>
      <c r="B2" s="1" t="s">
        <v>161</v>
      </c>
      <c r="C2" s="1" t="s">
        <v>168</v>
      </c>
      <c r="D2" s="1" t="s">
        <v>83</v>
      </c>
      <c r="E2" s="1" t="str">
        <f>_xlfn.CONCAT("LS - ",B2," - ",C2)</f>
        <v>LS - BBC - Maternal and Child Health</v>
      </c>
      <c r="F2" s="21" t="s">
        <v>87</v>
      </c>
      <c r="G2" s="1" t="s">
        <v>88</v>
      </c>
      <c r="H2" s="1" t="s">
        <v>225</v>
      </c>
      <c r="I2" s="19" t="s">
        <v>89</v>
      </c>
      <c r="J2" s="19" t="s">
        <v>90</v>
      </c>
      <c r="K2" s="1" t="s">
        <v>91</v>
      </c>
      <c r="L2" s="1" t="s">
        <v>81</v>
      </c>
      <c r="M2" s="1"/>
      <c r="N2" s="1"/>
      <c r="O2" s="20">
        <v>45967</v>
      </c>
      <c r="P2" s="1"/>
      <c r="Q2" s="1"/>
      <c r="R2" s="1"/>
      <c r="S2" s="1"/>
      <c r="T2" s="1"/>
    </row>
    <row r="3" spans="1:22" x14ac:dyDescent="0.2">
      <c r="A3" s="1" t="s">
        <v>154</v>
      </c>
      <c r="B3" s="1" t="s">
        <v>161</v>
      </c>
      <c r="C3" s="1" t="s">
        <v>168</v>
      </c>
      <c r="D3" s="1" t="s">
        <v>83</v>
      </c>
      <c r="E3" s="1" t="str">
        <f>_xlfn.CONCAT("LS - ",B3," - ",C3)</f>
        <v>LS - BBC - Maternal and Child Health</v>
      </c>
      <c r="F3" s="19" t="s">
        <v>217</v>
      </c>
      <c r="G3" s="1" t="s">
        <v>84</v>
      </c>
      <c r="H3" s="1" t="s">
        <v>179</v>
      </c>
      <c r="I3" s="19" t="s">
        <v>85</v>
      </c>
      <c r="J3" s="19" t="s">
        <v>86</v>
      </c>
      <c r="K3" s="1"/>
      <c r="L3" s="1" t="s">
        <v>81</v>
      </c>
      <c r="M3" s="1"/>
      <c r="N3" s="1"/>
      <c r="O3" s="20">
        <v>46119</v>
      </c>
      <c r="P3" s="1"/>
      <c r="Q3" s="1"/>
      <c r="R3" s="1"/>
      <c r="S3" s="1"/>
      <c r="T3" s="1"/>
    </row>
    <row r="4" spans="1:22" x14ac:dyDescent="0.2">
      <c r="A4" s="1" t="s">
        <v>154</v>
      </c>
      <c r="B4" s="1" t="s">
        <v>161</v>
      </c>
      <c r="C4" s="1" t="s">
        <v>169</v>
      </c>
      <c r="D4" s="1" t="s">
        <v>93</v>
      </c>
      <c r="E4" s="1" t="str">
        <f>_xlfn.CONCAT("LS - ",B4," - ",C4)</f>
        <v>LS - BBC - X-ray</v>
      </c>
      <c r="F4" s="21" t="s">
        <v>214</v>
      </c>
      <c r="G4" s="1" t="s">
        <v>215</v>
      </c>
      <c r="H4" s="1" t="s">
        <v>194</v>
      </c>
      <c r="I4" s="19">
        <v>5510</v>
      </c>
      <c r="J4" s="19" t="s">
        <v>216</v>
      </c>
      <c r="K4" s="1" t="s">
        <v>98</v>
      </c>
      <c r="L4" s="1" t="s">
        <v>113</v>
      </c>
      <c r="M4" s="1"/>
      <c r="N4" s="1"/>
      <c r="O4" s="20"/>
      <c r="P4" s="1"/>
      <c r="Q4" s="1"/>
      <c r="R4" s="1"/>
      <c r="S4" s="1"/>
      <c r="T4" s="1"/>
    </row>
    <row r="5" spans="1:22" x14ac:dyDescent="0.2">
      <c r="A5" s="1" t="s">
        <v>154</v>
      </c>
      <c r="B5" s="1" t="s">
        <v>161</v>
      </c>
      <c r="C5" s="1" t="s">
        <v>169</v>
      </c>
      <c r="D5" s="1" t="s">
        <v>93</v>
      </c>
      <c r="E5" s="1" t="str">
        <f>_xlfn.CONCAT("LS - ",B5," - ",C6)</f>
        <v>LS - BBC - ICU</v>
      </c>
      <c r="F5" s="21" t="s">
        <v>94</v>
      </c>
      <c r="G5" s="1" t="s">
        <v>95</v>
      </c>
      <c r="H5" s="1" t="s">
        <v>182</v>
      </c>
      <c r="I5" s="19" t="s">
        <v>96</v>
      </c>
      <c r="J5" s="19" t="s">
        <v>97</v>
      </c>
      <c r="K5" s="1" t="s">
        <v>98</v>
      </c>
      <c r="L5" s="1" t="s">
        <v>81</v>
      </c>
      <c r="M5" s="1"/>
      <c r="N5" s="1"/>
      <c r="O5" s="20">
        <v>45967</v>
      </c>
      <c r="P5" s="1"/>
      <c r="Q5" s="1"/>
      <c r="R5" s="1"/>
      <c r="S5" s="1"/>
      <c r="T5" s="1"/>
    </row>
    <row r="6" spans="1:22" x14ac:dyDescent="0.2">
      <c r="A6" s="1" t="s">
        <v>166</v>
      </c>
      <c r="B6" s="1" t="s">
        <v>162</v>
      </c>
      <c r="C6" s="1" t="s">
        <v>170</v>
      </c>
      <c r="D6" s="1" t="s">
        <v>99</v>
      </c>
      <c r="E6" s="1" t="str">
        <f>_xlfn.CONCAT("LS - ",B6," - ",C6)</f>
        <v>LS - BH - ICU</v>
      </c>
      <c r="F6" s="19" t="s">
        <v>219</v>
      </c>
      <c r="G6" s="1" t="s">
        <v>100</v>
      </c>
      <c r="H6" s="1" t="s">
        <v>179</v>
      </c>
      <c r="I6" s="19" t="s">
        <v>85</v>
      </c>
      <c r="J6" s="19" t="s">
        <v>101</v>
      </c>
      <c r="K6" s="1"/>
      <c r="L6" s="1" t="s">
        <v>81</v>
      </c>
      <c r="M6" s="1"/>
      <c r="N6" s="1"/>
      <c r="O6" s="1"/>
      <c r="P6" s="1"/>
      <c r="Q6" s="1"/>
      <c r="R6" s="1"/>
      <c r="S6" s="1"/>
      <c r="T6" s="1"/>
    </row>
    <row r="7" spans="1:22" x14ac:dyDescent="0.2">
      <c r="A7" s="1" t="s">
        <v>166</v>
      </c>
      <c r="B7" s="1" t="s">
        <v>162</v>
      </c>
      <c r="C7" s="1" t="s">
        <v>169</v>
      </c>
      <c r="D7" s="1" t="s">
        <v>102</v>
      </c>
      <c r="E7" s="1" t="str">
        <f>_xlfn.CONCAT("LS - ",B7," - ",C7)</f>
        <v>LS - BH - X-ray</v>
      </c>
      <c r="F7" s="19" t="s">
        <v>220</v>
      </c>
      <c r="G7" s="1" t="s">
        <v>103</v>
      </c>
      <c r="H7" s="1" t="s">
        <v>181</v>
      </c>
      <c r="I7" s="19" t="s">
        <v>104</v>
      </c>
      <c r="J7" s="19" t="s">
        <v>105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2" x14ac:dyDescent="0.2">
      <c r="A8" s="1" t="s">
        <v>166</v>
      </c>
      <c r="B8" s="1" t="s">
        <v>162</v>
      </c>
      <c r="C8" s="1" t="s">
        <v>169</v>
      </c>
      <c r="D8" s="1" t="s">
        <v>102</v>
      </c>
      <c r="E8" s="1" t="str">
        <f>_xlfn.CONCAT("LS - ",B8," - ",C8)</f>
        <v>LS - BH - X-ray</v>
      </c>
      <c r="F8" s="19" t="s">
        <v>242</v>
      </c>
      <c r="G8" s="1" t="s">
        <v>243</v>
      </c>
      <c r="H8" s="1" t="s">
        <v>246</v>
      </c>
      <c r="I8" s="19" t="s">
        <v>244</v>
      </c>
      <c r="J8" s="19" t="s">
        <v>245</v>
      </c>
      <c r="K8" s="1" t="s">
        <v>98</v>
      </c>
      <c r="L8" s="1" t="s">
        <v>81</v>
      </c>
      <c r="M8" s="19"/>
      <c r="N8" s="19"/>
      <c r="O8" s="20">
        <v>46141</v>
      </c>
      <c r="P8" s="1"/>
      <c r="Q8" s="1"/>
      <c r="R8" s="1"/>
      <c r="S8" s="1"/>
      <c r="T8" s="1"/>
    </row>
    <row r="9" spans="1:22" x14ac:dyDescent="0.2">
      <c r="A9" s="1" t="s">
        <v>166</v>
      </c>
      <c r="B9" s="1" t="s">
        <v>162</v>
      </c>
      <c r="C9" s="1" t="s">
        <v>169</v>
      </c>
      <c r="D9" s="1" t="s">
        <v>102</v>
      </c>
      <c r="E9" s="1" t="str">
        <f>_xlfn.CONCAT("LS - ",B9," - ",C9)</f>
        <v>LS - BH - X-ray</v>
      </c>
      <c r="F9" s="19" t="s">
        <v>207</v>
      </c>
      <c r="G9" s="1" t="s">
        <v>208</v>
      </c>
      <c r="H9" s="1" t="s">
        <v>209</v>
      </c>
      <c r="I9" s="19">
        <v>18505</v>
      </c>
      <c r="J9" s="19" t="s">
        <v>210</v>
      </c>
      <c r="K9" s="1"/>
      <c r="L9" s="1" t="s">
        <v>81</v>
      </c>
      <c r="M9" s="19"/>
      <c r="N9" s="19"/>
      <c r="O9" s="20">
        <v>45897</v>
      </c>
      <c r="P9" s="1"/>
      <c r="Q9" s="1"/>
      <c r="R9" s="1"/>
      <c r="S9" s="1"/>
      <c r="T9" s="1"/>
    </row>
    <row r="10" spans="1:22" x14ac:dyDescent="0.2">
      <c r="A10" s="1" t="s">
        <v>166</v>
      </c>
      <c r="B10" s="1" t="s">
        <v>162</v>
      </c>
      <c r="C10" s="1" t="s">
        <v>169</v>
      </c>
      <c r="D10" s="1" t="s">
        <v>102</v>
      </c>
      <c r="E10" s="1" t="str">
        <f>_xlfn.CONCAT("LS - ",B10," - ",C10)</f>
        <v>LS - BH - X-ray</v>
      </c>
      <c r="F10" s="19" t="s">
        <v>211</v>
      </c>
      <c r="G10" s="1" t="s">
        <v>251</v>
      </c>
      <c r="H10" s="1" t="s">
        <v>252</v>
      </c>
      <c r="I10" s="19" t="s">
        <v>212</v>
      </c>
      <c r="J10" s="19" t="s">
        <v>213</v>
      </c>
      <c r="K10" s="1"/>
      <c r="L10" s="1" t="s">
        <v>81</v>
      </c>
      <c r="M10" s="19"/>
      <c r="N10" s="19"/>
      <c r="O10" s="1"/>
      <c r="P10" s="1"/>
      <c r="Q10" s="1" t="s">
        <v>207</v>
      </c>
      <c r="R10" s="1" t="s">
        <v>208</v>
      </c>
      <c r="S10" s="1" t="s">
        <v>81</v>
      </c>
      <c r="T10" s="1">
        <v>18505</v>
      </c>
    </row>
    <row r="11" spans="1:22" x14ac:dyDescent="0.2">
      <c r="A11" s="1" t="s">
        <v>166</v>
      </c>
      <c r="B11" s="1" t="s">
        <v>162</v>
      </c>
      <c r="C11" s="1" t="s">
        <v>169</v>
      </c>
      <c r="D11" s="1" t="s">
        <v>102</v>
      </c>
      <c r="E11" s="1" t="str">
        <f>_xlfn.CONCAT("LS - ",B11," - ",C11)</f>
        <v>LS - BH - X-ray</v>
      </c>
      <c r="F11" s="19" t="s">
        <v>203</v>
      </c>
      <c r="G11" s="1" t="s">
        <v>204</v>
      </c>
      <c r="H11" s="1" t="s">
        <v>205</v>
      </c>
      <c r="I11" s="19">
        <v>15553</v>
      </c>
      <c r="J11" s="19" t="s">
        <v>206</v>
      </c>
      <c r="K11" s="1"/>
      <c r="L11" s="1" t="s">
        <v>81</v>
      </c>
      <c r="M11" s="19"/>
      <c r="N11" s="19"/>
      <c r="O11" s="20">
        <v>45890</v>
      </c>
      <c r="P11" s="1"/>
      <c r="Q11" s="1"/>
      <c r="R11" s="1"/>
      <c r="S11" s="1"/>
      <c r="T11" s="1"/>
    </row>
    <row r="12" spans="1:22" x14ac:dyDescent="0.2">
      <c r="A12" s="1" t="s">
        <v>62</v>
      </c>
      <c r="B12" s="1" t="s">
        <v>226</v>
      </c>
      <c r="C12" s="1" t="s">
        <v>168</v>
      </c>
      <c r="D12" s="1" t="s">
        <v>222</v>
      </c>
      <c r="E12" s="1" t="str">
        <f>_xlfn.CONCAT("LS - ",B12," - ",C12)</f>
        <v>LS - LKC - Maternal and Child Health</v>
      </c>
      <c r="F12" s="19" t="s">
        <v>233</v>
      </c>
      <c r="G12" s="1" t="s">
        <v>119</v>
      </c>
      <c r="H12" s="1" t="s">
        <v>179</v>
      </c>
      <c r="I12" s="19" t="s">
        <v>120</v>
      </c>
      <c r="J12" s="19" t="s">
        <v>227</v>
      </c>
      <c r="K12" s="1"/>
      <c r="L12" s="1" t="s">
        <v>81</v>
      </c>
      <c r="M12" s="19"/>
      <c r="N12" s="19"/>
      <c r="O12" s="1"/>
      <c r="P12" s="1"/>
      <c r="Q12" s="1"/>
      <c r="R12" s="1"/>
      <c r="S12" s="1"/>
      <c r="T12" s="1"/>
    </row>
    <row r="13" spans="1:22" x14ac:dyDescent="0.2">
      <c r="A13" s="1" t="s">
        <v>62</v>
      </c>
      <c r="B13" s="1" t="s">
        <v>226</v>
      </c>
      <c r="C13" s="1" t="s">
        <v>168</v>
      </c>
      <c r="D13" s="1" t="s">
        <v>222</v>
      </c>
      <c r="E13" s="1" t="str">
        <f>_xlfn.CONCAT("LS - ",B13," - ",C13)</f>
        <v>LS - LKC - Maternal and Child Health</v>
      </c>
      <c r="F13" s="19" t="s">
        <v>223</v>
      </c>
      <c r="G13" s="1" t="s">
        <v>125</v>
      </c>
      <c r="H13" s="1" t="s">
        <v>225</v>
      </c>
      <c r="I13" s="19" t="s">
        <v>126</v>
      </c>
      <c r="J13" s="19" t="s">
        <v>224</v>
      </c>
      <c r="K13" s="1" t="s">
        <v>91</v>
      </c>
      <c r="L13" s="1" t="s">
        <v>81</v>
      </c>
      <c r="M13" s="19"/>
      <c r="N13" s="19"/>
      <c r="O13" s="20">
        <v>45974</v>
      </c>
      <c r="P13" s="1"/>
      <c r="Q13" s="1"/>
      <c r="R13" s="1"/>
      <c r="S13" s="1"/>
      <c r="T13" s="1"/>
    </row>
    <row r="14" spans="1:22" s="1" customFormat="1" x14ac:dyDescent="0.2">
      <c r="A14" s="1" t="s">
        <v>62</v>
      </c>
      <c r="B14" s="1" t="s">
        <v>226</v>
      </c>
      <c r="C14" s="1" t="s">
        <v>169</v>
      </c>
      <c r="D14" s="1" t="s">
        <v>228</v>
      </c>
      <c r="E14" s="1" t="str">
        <f>_xlfn.CONCAT("LS - ",B14," - ",C14)</f>
        <v>LS - LKC - X-ray</v>
      </c>
      <c r="F14" s="19" t="s">
        <v>239</v>
      </c>
      <c r="G14" s="1" t="s">
        <v>215</v>
      </c>
      <c r="H14" s="1" t="s">
        <v>195</v>
      </c>
      <c r="I14" s="19">
        <v>5510</v>
      </c>
      <c r="J14" s="19" t="s">
        <v>240</v>
      </c>
      <c r="K14" s="1" t="s">
        <v>98</v>
      </c>
      <c r="L14" s="1" t="s">
        <v>113</v>
      </c>
      <c r="M14" s="19"/>
      <c r="N14" s="19"/>
      <c r="U14"/>
      <c r="V14"/>
    </row>
    <row r="15" spans="1:22" x14ac:dyDescent="0.2">
      <c r="A15" s="1" t="s">
        <v>62</v>
      </c>
      <c r="B15" s="1" t="s">
        <v>226</v>
      </c>
      <c r="C15" s="1" t="s">
        <v>169</v>
      </c>
      <c r="D15" s="1" t="s">
        <v>228</v>
      </c>
      <c r="E15" s="1" t="str">
        <f>_xlfn.CONCAT("LS - ",B15," - ",C15)</f>
        <v>LS - LKC - X-ray</v>
      </c>
      <c r="F15" s="19" t="s">
        <v>229</v>
      </c>
      <c r="G15" s="1" t="s">
        <v>230</v>
      </c>
      <c r="H15" s="1" t="s">
        <v>232</v>
      </c>
      <c r="I15" s="19" t="s">
        <v>198</v>
      </c>
      <c r="J15" s="19" t="s">
        <v>231</v>
      </c>
      <c r="K15" s="1" t="s">
        <v>98</v>
      </c>
      <c r="L15" s="1" t="s">
        <v>81</v>
      </c>
      <c r="M15" s="19"/>
      <c r="N15" s="19"/>
      <c r="O15" s="20">
        <v>45974</v>
      </c>
      <c r="P15" s="1"/>
      <c r="Q15" s="1"/>
      <c r="R15" s="1"/>
      <c r="S15" s="1"/>
      <c r="T15" s="1"/>
    </row>
    <row r="16" spans="1:22" x14ac:dyDescent="0.2">
      <c r="A16" s="1" t="s">
        <v>160</v>
      </c>
      <c r="B16" s="1" t="s">
        <v>171</v>
      </c>
      <c r="C16" s="1" t="s">
        <v>169</v>
      </c>
      <c r="D16" s="1" t="s">
        <v>131</v>
      </c>
      <c r="E16" s="1" t="str">
        <f>_xlfn.CONCAT("LS - ",B16," - ",C16)</f>
        <v>LS - MH - X-ray</v>
      </c>
      <c r="F16" s="19" t="s">
        <v>234</v>
      </c>
      <c r="G16" s="1" t="s">
        <v>119</v>
      </c>
      <c r="H16" s="1" t="s">
        <v>179</v>
      </c>
      <c r="I16" s="19" t="s">
        <v>120</v>
      </c>
      <c r="J16" s="19">
        <v>24170152</v>
      </c>
      <c r="K16" s="1"/>
      <c r="L16" s="1" t="s">
        <v>81</v>
      </c>
      <c r="M16" s="1"/>
      <c r="N16" s="1"/>
      <c r="O16" s="1"/>
      <c r="P16" s="1"/>
      <c r="Q16" s="1"/>
      <c r="R16" s="1"/>
      <c r="S16" s="1"/>
      <c r="T16" s="1"/>
    </row>
    <row r="17" spans="1:22" x14ac:dyDescent="0.2">
      <c r="A17" s="1" t="s">
        <v>160</v>
      </c>
      <c r="B17" s="1" t="s">
        <v>171</v>
      </c>
      <c r="C17" s="1" t="s">
        <v>169</v>
      </c>
      <c r="D17" s="1" t="s">
        <v>131</v>
      </c>
      <c r="E17" s="1" t="str">
        <f>_xlfn.CONCAT("LS - ",B17," - ",C17)</f>
        <v>LS - MH - X-ray</v>
      </c>
      <c r="F17" s="19" t="s">
        <v>235</v>
      </c>
      <c r="G17" s="1" t="s">
        <v>132</v>
      </c>
      <c r="H17" s="1" t="s">
        <v>179</v>
      </c>
      <c r="I17" s="19" t="s">
        <v>120</v>
      </c>
      <c r="J17" s="19">
        <v>24190536</v>
      </c>
      <c r="K17" s="1"/>
      <c r="L17" s="1" t="s">
        <v>81</v>
      </c>
      <c r="M17" s="1"/>
      <c r="N17" s="1"/>
      <c r="O17" s="1"/>
      <c r="P17" s="1"/>
      <c r="Q17" s="1"/>
      <c r="R17" s="1"/>
      <c r="S17" s="1"/>
      <c r="T17" s="1"/>
    </row>
    <row r="18" spans="1:22" x14ac:dyDescent="0.2">
      <c r="A18" s="1" t="s">
        <v>160</v>
      </c>
      <c r="B18" s="1" t="s">
        <v>171</v>
      </c>
      <c r="C18" s="1" t="s">
        <v>169</v>
      </c>
      <c r="D18" s="1" t="s">
        <v>131</v>
      </c>
      <c r="E18" s="1" t="str">
        <f>_xlfn.CONCAT("LS - ",B18," - ",C18)</f>
        <v>LS - MH - X-ray</v>
      </c>
      <c r="F18" s="19" t="s">
        <v>236</v>
      </c>
      <c r="G18" s="1" t="s">
        <v>133</v>
      </c>
      <c r="H18" s="1" t="s">
        <v>180</v>
      </c>
      <c r="I18" s="19" t="s">
        <v>134</v>
      </c>
      <c r="J18" s="19" t="s">
        <v>135</v>
      </c>
      <c r="K18" s="1"/>
      <c r="L18" s="1" t="s">
        <v>81</v>
      </c>
      <c r="M18" s="1"/>
      <c r="N18" s="1"/>
      <c r="O18" s="1"/>
      <c r="P18" s="1"/>
      <c r="Q18" s="1"/>
      <c r="R18" s="1" t="s">
        <v>136</v>
      </c>
      <c r="S18" s="1" t="s">
        <v>81</v>
      </c>
      <c r="T18" s="1"/>
    </row>
    <row r="19" spans="1:22" x14ac:dyDescent="0.2">
      <c r="A19" s="1" t="s">
        <v>157</v>
      </c>
      <c r="B19" s="1" t="s">
        <v>172</v>
      </c>
      <c r="C19" s="1" t="s">
        <v>169</v>
      </c>
      <c r="D19" s="1" t="s">
        <v>82</v>
      </c>
      <c r="E19" s="1" t="str">
        <f>_xlfn.CONCAT("LS - ",B19," - ",C19)</f>
        <v>LS - MHC - X-ray</v>
      </c>
      <c r="F19" s="19">
        <v>15468930796</v>
      </c>
      <c r="G19" s="1" t="s">
        <v>79</v>
      </c>
      <c r="H19" s="22" t="s">
        <v>182</v>
      </c>
      <c r="I19" s="19" t="s">
        <v>80</v>
      </c>
      <c r="J19" s="19">
        <v>46604</v>
      </c>
      <c r="K19" s="1"/>
      <c r="L19" s="1" t="s">
        <v>81</v>
      </c>
      <c r="M19" s="1"/>
      <c r="N19" s="1"/>
      <c r="O19" s="1"/>
      <c r="P19" s="1"/>
      <c r="Q19" s="1"/>
      <c r="R19" s="1"/>
      <c r="S19" s="1"/>
      <c r="T19" s="1"/>
    </row>
    <row r="20" spans="1:22" x14ac:dyDescent="0.2">
      <c r="A20" s="1" t="s">
        <v>157</v>
      </c>
      <c r="B20" s="1" t="s">
        <v>172</v>
      </c>
      <c r="C20" s="1" t="s">
        <v>169</v>
      </c>
      <c r="D20" s="1" t="s">
        <v>121</v>
      </c>
      <c r="E20" s="1" t="str">
        <f>_xlfn.CONCAT("LS - ",B20," - ",C20)</f>
        <v>LS - MHC - X-ray</v>
      </c>
      <c r="F20" s="13">
        <v>87406322849</v>
      </c>
      <c r="G20" t="s">
        <v>249</v>
      </c>
      <c r="H20" s="1" t="s">
        <v>195</v>
      </c>
      <c r="I20" s="13">
        <v>8620002</v>
      </c>
      <c r="J20" s="13" t="s">
        <v>250</v>
      </c>
      <c r="K20"/>
      <c r="L20" t="s">
        <v>113</v>
      </c>
      <c r="M20" s="13"/>
      <c r="N20" s="13"/>
      <c r="O20" s="1"/>
      <c r="P20" s="1"/>
      <c r="Q20" s="1"/>
      <c r="R20" s="1"/>
      <c r="S20" s="1"/>
      <c r="T20" s="1"/>
      <c r="V20" t="s">
        <v>253</v>
      </c>
    </row>
    <row r="21" spans="1:22" x14ac:dyDescent="0.2">
      <c r="A21" s="1" t="s">
        <v>158</v>
      </c>
      <c r="B21" s="1" t="s">
        <v>163</v>
      </c>
      <c r="C21" s="1" t="s">
        <v>168</v>
      </c>
      <c r="D21" s="1" t="s">
        <v>106</v>
      </c>
      <c r="E21" s="1" t="str">
        <f>_xlfn.CONCAT("LS - ",B21," - ",C21)</f>
        <v>LS - MLC - Maternal and Child Health</v>
      </c>
      <c r="F21" s="19" t="s">
        <v>108</v>
      </c>
      <c r="G21" s="1" t="s">
        <v>109</v>
      </c>
      <c r="H21" s="1" t="s">
        <v>225</v>
      </c>
      <c r="I21" s="19" t="s">
        <v>92</v>
      </c>
      <c r="J21" s="19" t="s">
        <v>110</v>
      </c>
      <c r="K21" s="1"/>
      <c r="L21" s="1" t="s">
        <v>81</v>
      </c>
      <c r="M21" s="1"/>
      <c r="N21" s="1"/>
      <c r="O21" s="20">
        <v>45965</v>
      </c>
      <c r="P21" s="1"/>
      <c r="Q21" s="1" t="s">
        <v>111</v>
      </c>
      <c r="R21" s="1" t="s">
        <v>112</v>
      </c>
      <c r="S21" s="1" t="s">
        <v>113</v>
      </c>
      <c r="T21" s="1"/>
    </row>
    <row r="22" spans="1:22" x14ac:dyDescent="0.2">
      <c r="A22" s="1" t="s">
        <v>158</v>
      </c>
      <c r="B22" s="1" t="s">
        <v>163</v>
      </c>
      <c r="C22" s="1" t="s">
        <v>168</v>
      </c>
      <c r="D22" s="1" t="s">
        <v>106</v>
      </c>
      <c r="E22" s="1" t="str">
        <f>_xlfn.CONCAT("LS - ",B22," - ",C22)</f>
        <v>LS - MLC - Maternal and Child Health</v>
      </c>
      <c r="F22" s="19" t="s">
        <v>241</v>
      </c>
      <c r="G22" s="1" t="s">
        <v>84</v>
      </c>
      <c r="H22" s="1" t="s">
        <v>179</v>
      </c>
      <c r="I22" s="19" t="s">
        <v>85</v>
      </c>
      <c r="J22" s="19" t="s">
        <v>107</v>
      </c>
      <c r="K22" s="1"/>
      <c r="L22" s="1" t="s">
        <v>81</v>
      </c>
      <c r="M22" s="1"/>
      <c r="N22" s="1"/>
      <c r="O22" s="1"/>
      <c r="P22" s="1"/>
      <c r="Q22" s="1"/>
      <c r="R22" s="1"/>
      <c r="S22" s="1"/>
      <c r="T22" s="1"/>
    </row>
    <row r="23" spans="1:22" x14ac:dyDescent="0.2">
      <c r="A23" s="1" t="s">
        <v>158</v>
      </c>
      <c r="B23" s="1" t="s">
        <v>163</v>
      </c>
      <c r="C23" s="1" t="s">
        <v>169</v>
      </c>
      <c r="D23" s="1" t="s">
        <v>114</v>
      </c>
      <c r="E23" s="1" t="str">
        <f>_xlfn.CONCAT("LS - ",B23," - ",C23)</f>
        <v>LS - MLC - X-ray</v>
      </c>
      <c r="F23" s="19" t="s">
        <v>237</v>
      </c>
      <c r="G23" s="1" t="s">
        <v>115</v>
      </c>
      <c r="H23" s="1" t="s">
        <v>182</v>
      </c>
      <c r="I23" s="19" t="s">
        <v>80</v>
      </c>
      <c r="J23" s="19">
        <v>46604</v>
      </c>
      <c r="K23" s="1"/>
      <c r="L23" s="1" t="s">
        <v>81</v>
      </c>
      <c r="M23" s="1"/>
      <c r="N23" s="1"/>
      <c r="O23" s="20">
        <v>45965</v>
      </c>
      <c r="P23" s="1"/>
      <c r="Q23" s="1"/>
      <c r="R23" s="1"/>
      <c r="S23" s="1"/>
      <c r="T23" s="1"/>
    </row>
    <row r="24" spans="1:22" x14ac:dyDescent="0.2">
      <c r="A24" s="1" t="s">
        <v>158</v>
      </c>
      <c r="B24" s="1" t="s">
        <v>163</v>
      </c>
      <c r="C24" s="1" t="s">
        <v>169</v>
      </c>
      <c r="D24" s="1" t="s">
        <v>114</v>
      </c>
      <c r="E24" s="1" t="str">
        <f>_xlfn.CONCAT("LS - ",B24," - ",C24)</f>
        <v>LS - MLC - X-ray</v>
      </c>
      <c r="F24" s="30">
        <v>35038429779</v>
      </c>
      <c r="G24" s="1" t="s">
        <v>117</v>
      </c>
      <c r="H24" s="1" t="s">
        <v>179</v>
      </c>
      <c r="I24" s="19" t="s">
        <v>120</v>
      </c>
      <c r="J24" s="19" t="s">
        <v>221</v>
      </c>
      <c r="K24" s="1"/>
      <c r="L24" s="1" t="s">
        <v>81</v>
      </c>
      <c r="M24" s="19"/>
      <c r="N24" s="19"/>
      <c r="O24" s="20">
        <v>45972</v>
      </c>
      <c r="P24" s="1"/>
      <c r="Q24" s="1"/>
      <c r="R24" s="1"/>
      <c r="S24" s="1"/>
      <c r="T24" s="1"/>
    </row>
    <row r="25" spans="1:22" x14ac:dyDescent="0.2">
      <c r="A25" s="1" t="s">
        <v>157</v>
      </c>
      <c r="B25" s="1" t="s">
        <v>164</v>
      </c>
      <c r="C25" s="1" t="s">
        <v>168</v>
      </c>
      <c r="D25" s="1" t="s">
        <v>116</v>
      </c>
      <c r="E25" s="1" t="str">
        <f>_xlfn.CONCAT("LS - ",B25," - ",C25)</f>
        <v>LS - MMC - Maternal and Child Health</v>
      </c>
      <c r="F25" s="19" t="s">
        <v>118</v>
      </c>
      <c r="G25" s="1" t="s">
        <v>119</v>
      </c>
      <c r="H25" s="1" t="s">
        <v>179</v>
      </c>
      <c r="I25" s="19" t="s">
        <v>120</v>
      </c>
      <c r="J25" s="19">
        <v>24190239</v>
      </c>
      <c r="K25" s="1"/>
      <c r="L25" s="1" t="s">
        <v>81</v>
      </c>
      <c r="M25" s="1"/>
      <c r="N25" s="1"/>
      <c r="O25" s="1"/>
      <c r="P25" s="1"/>
      <c r="Q25" s="1"/>
      <c r="R25" s="1"/>
      <c r="S25" s="1"/>
      <c r="T25" s="1"/>
      <c r="V25" t="s">
        <v>256</v>
      </c>
    </row>
    <row r="26" spans="1:22" x14ac:dyDescent="0.2">
      <c r="A26" s="1" t="s">
        <v>157</v>
      </c>
      <c r="B26" s="1" t="s">
        <v>164</v>
      </c>
      <c r="C26" s="1" t="s">
        <v>168</v>
      </c>
      <c r="D26" s="1" t="s">
        <v>116</v>
      </c>
      <c r="E26" s="1" t="str">
        <f>_xlfn.CONCAT("LS - ",B26," - ",C26)</f>
        <v>LS - MMC - Maternal and Child Health</v>
      </c>
      <c r="F26" s="30">
        <v>35038429779</v>
      </c>
      <c r="G26" s="1" t="s">
        <v>117</v>
      </c>
      <c r="H26" s="1" t="s">
        <v>179</v>
      </c>
      <c r="I26" s="19" t="s">
        <v>85</v>
      </c>
      <c r="J26" s="19" t="s">
        <v>221</v>
      </c>
      <c r="K26" s="1"/>
      <c r="L26" s="19" t="s">
        <v>81</v>
      </c>
      <c r="M26" s="19"/>
      <c r="N26" s="19"/>
      <c r="O26" s="20">
        <v>45972</v>
      </c>
      <c r="P26" s="1"/>
      <c r="Q26" s="1"/>
      <c r="R26" s="1"/>
      <c r="S26" s="1"/>
      <c r="T26" s="1"/>
      <c r="U26" s="1"/>
      <c r="V26" s="1"/>
    </row>
    <row r="27" spans="1:22" x14ac:dyDescent="0.2">
      <c r="A27" s="1" t="s">
        <v>157</v>
      </c>
      <c r="B27" s="1" t="s">
        <v>164</v>
      </c>
      <c r="C27" s="1" t="s">
        <v>169</v>
      </c>
      <c r="D27" s="1" t="s">
        <v>121</v>
      </c>
      <c r="E27" s="1" t="str">
        <f>_xlfn.CONCAT("LS - ",B27," - ",C27)</f>
        <v>LS - MMC - X-ray</v>
      </c>
      <c r="F27" s="19" t="s">
        <v>255</v>
      </c>
      <c r="G27" s="1" t="s">
        <v>115</v>
      </c>
      <c r="H27" s="1" t="s">
        <v>182</v>
      </c>
      <c r="I27" s="19" t="s">
        <v>80</v>
      </c>
      <c r="J27" s="19">
        <v>46617</v>
      </c>
      <c r="K27" s="1"/>
      <c r="L27" s="1" t="s">
        <v>81</v>
      </c>
      <c r="M27" s="1"/>
      <c r="N27" s="1"/>
      <c r="O27" s="20">
        <v>45972</v>
      </c>
      <c r="P27" s="1"/>
      <c r="Q27" s="1"/>
      <c r="R27" s="1"/>
      <c r="S27" s="1"/>
      <c r="T27" s="1"/>
    </row>
    <row r="28" spans="1:22" x14ac:dyDescent="0.2">
      <c r="A28" s="1" t="s">
        <v>157</v>
      </c>
      <c r="B28" s="1" t="s">
        <v>164</v>
      </c>
      <c r="C28" s="1" t="s">
        <v>169</v>
      </c>
      <c r="D28" s="1" t="s">
        <v>121</v>
      </c>
      <c r="E28" s="1" t="str">
        <f>_xlfn.CONCAT("LS - ",B28," - ",C28)</f>
        <v>LS - MMC - X-ray</v>
      </c>
      <c r="F28" s="13">
        <v>87406322849</v>
      </c>
      <c r="G28" t="s">
        <v>249</v>
      </c>
      <c r="H28" t="s">
        <v>195</v>
      </c>
      <c r="I28" s="13">
        <v>8620002</v>
      </c>
      <c r="J28" s="13" t="s">
        <v>250</v>
      </c>
      <c r="K28"/>
      <c r="L28" s="13" t="s">
        <v>113</v>
      </c>
      <c r="M28" s="13"/>
      <c r="N28" s="13"/>
      <c r="Q28" s="1"/>
      <c r="R28" s="1"/>
      <c r="S28" s="1"/>
      <c r="T28" s="1"/>
    </row>
    <row r="29" spans="1:22" x14ac:dyDescent="0.2">
      <c r="A29" s="1" t="s">
        <v>265</v>
      </c>
      <c r="B29" s="1" t="s">
        <v>264</v>
      </c>
      <c r="C29" s="1" t="s">
        <v>169</v>
      </c>
      <c r="D29" t="s">
        <v>257</v>
      </c>
      <c r="E29" s="1" t="str">
        <f>_xlfn.CONCAT("LS - ",B29," - ",C31)</f>
        <v>LS - NHC - X-ray</v>
      </c>
      <c r="F29" s="13" t="s">
        <v>269</v>
      </c>
      <c r="G29" t="s">
        <v>215</v>
      </c>
      <c r="H29" s="1" t="s">
        <v>195</v>
      </c>
      <c r="I29" s="13">
        <v>5510</v>
      </c>
      <c r="J29" s="13" t="s">
        <v>270</v>
      </c>
      <c r="K29" t="s">
        <v>98</v>
      </c>
      <c r="L29" s="13" t="s">
        <v>81</v>
      </c>
      <c r="M29" s="13"/>
      <c r="N29" s="13"/>
    </row>
    <row r="30" spans="1:22" x14ac:dyDescent="0.2">
      <c r="A30" s="1" t="s">
        <v>265</v>
      </c>
      <c r="B30" s="1" t="s">
        <v>264</v>
      </c>
      <c r="C30" s="1" t="s">
        <v>168</v>
      </c>
      <c r="D30" t="s">
        <v>266</v>
      </c>
      <c r="E30" s="1" t="str">
        <f>_xlfn.CONCAT("LS - ",B30," - ",C32)</f>
        <v>LS - NHC - X-ray</v>
      </c>
      <c r="F30" s="13" t="s">
        <v>267</v>
      </c>
      <c r="G30" t="s">
        <v>125</v>
      </c>
      <c r="H30" s="1" t="s">
        <v>225</v>
      </c>
      <c r="I30" s="13" t="s">
        <v>126</v>
      </c>
      <c r="J30" s="13" t="s">
        <v>268</v>
      </c>
      <c r="K30" t="s">
        <v>91</v>
      </c>
      <c r="L30" s="13" t="s">
        <v>81</v>
      </c>
      <c r="M30" s="13"/>
      <c r="N30" s="13"/>
      <c r="O30" s="11">
        <v>45986</v>
      </c>
      <c r="R30" s="1"/>
      <c r="S30" s="1"/>
      <c r="T30" s="1"/>
    </row>
    <row r="31" spans="1:22" x14ac:dyDescent="0.2">
      <c r="A31" s="1" t="s">
        <v>265</v>
      </c>
      <c r="B31" s="1" t="s">
        <v>264</v>
      </c>
      <c r="C31" s="1" t="s">
        <v>169</v>
      </c>
      <c r="D31" t="s">
        <v>257</v>
      </c>
      <c r="E31" s="1" t="str">
        <f>_xlfn.CONCAT("LS - ",B31," - ",C33)</f>
        <v>LS - NHC - Maternal and Child Health</v>
      </c>
      <c r="F31" s="13" t="s">
        <v>258</v>
      </c>
      <c r="G31" t="s">
        <v>95</v>
      </c>
      <c r="H31" s="1" t="s">
        <v>182</v>
      </c>
      <c r="I31" s="13" t="s">
        <v>96</v>
      </c>
      <c r="J31" s="13" t="s">
        <v>259</v>
      </c>
      <c r="K31" s="1"/>
      <c r="L31" s="1"/>
      <c r="M31" s="1"/>
      <c r="N31" s="1"/>
      <c r="O31" s="20"/>
      <c r="P31" s="1"/>
      <c r="Q31" s="1"/>
      <c r="R31" s="1"/>
      <c r="S31" s="1"/>
      <c r="T31" s="1"/>
    </row>
    <row r="32" spans="1:22" x14ac:dyDescent="0.2">
      <c r="A32" s="1" t="s">
        <v>265</v>
      </c>
      <c r="B32" s="1" t="s">
        <v>264</v>
      </c>
      <c r="C32" s="1" t="s">
        <v>169</v>
      </c>
      <c r="D32" t="s">
        <v>257</v>
      </c>
      <c r="E32" s="1" t="str">
        <f>_xlfn.CONCAT("LS - ",B32," - ",C34)</f>
        <v>LS - NHC - Maternal and Child Health</v>
      </c>
      <c r="F32" s="13" t="s">
        <v>260</v>
      </c>
      <c r="G32" t="s">
        <v>261</v>
      </c>
      <c r="H32" s="1" t="s">
        <v>182</v>
      </c>
      <c r="I32" s="13" t="s">
        <v>262</v>
      </c>
      <c r="J32" s="13" t="s">
        <v>263</v>
      </c>
      <c r="K32" s="1"/>
      <c r="L32" s="1"/>
      <c r="M32" s="1"/>
      <c r="N32" s="1"/>
      <c r="O32" s="20"/>
      <c r="P32" s="1"/>
      <c r="Q32" s="1"/>
      <c r="R32" s="1"/>
      <c r="S32" s="1"/>
      <c r="T32" s="1"/>
    </row>
    <row r="33" spans="1:20" x14ac:dyDescent="0.2">
      <c r="A33" s="1" t="s">
        <v>159</v>
      </c>
      <c r="B33" s="1" t="s">
        <v>165</v>
      </c>
      <c r="C33" s="1" t="s">
        <v>168</v>
      </c>
      <c r="D33" s="1" t="s">
        <v>122</v>
      </c>
      <c r="E33" s="1" t="str">
        <f>_xlfn.CONCAT("LS - ",B33," - ",C33)</f>
        <v>LS - NKC - Maternal and Child Health</v>
      </c>
      <c r="F33" s="19" t="s">
        <v>123</v>
      </c>
      <c r="G33" s="1" t="s">
        <v>119</v>
      </c>
      <c r="H33" s="1" t="s">
        <v>179</v>
      </c>
      <c r="I33" s="19" t="s">
        <v>120</v>
      </c>
      <c r="J33" s="19">
        <v>24190572</v>
      </c>
      <c r="K33" s="1"/>
      <c r="L33" s="1" t="s">
        <v>81</v>
      </c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 t="s">
        <v>159</v>
      </c>
      <c r="B34" s="1" t="s">
        <v>165</v>
      </c>
      <c r="C34" s="1" t="s">
        <v>168</v>
      </c>
      <c r="D34" s="1" t="s">
        <v>122</v>
      </c>
      <c r="E34" s="1" t="str">
        <f>_xlfn.CONCAT("LS - ",B34," - ",C34)</f>
        <v>LS - NKC - Maternal and Child Health</v>
      </c>
      <c r="F34" s="19" t="s">
        <v>124</v>
      </c>
      <c r="G34" s="1" t="s">
        <v>125</v>
      </c>
      <c r="H34" s="1" t="s">
        <v>225</v>
      </c>
      <c r="I34" s="19" t="s">
        <v>126</v>
      </c>
      <c r="J34" s="19" t="s">
        <v>127</v>
      </c>
      <c r="K34" s="1" t="s">
        <v>91</v>
      </c>
      <c r="L34" s="1" t="s">
        <v>81</v>
      </c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 t="s">
        <v>159</v>
      </c>
      <c r="B35" s="1" t="s">
        <v>165</v>
      </c>
      <c r="C35" s="1" t="s">
        <v>169</v>
      </c>
      <c r="D35" s="1" t="s">
        <v>128</v>
      </c>
      <c r="E35" s="1" t="str">
        <f>_xlfn.CONCAT("LS - ",B35," - ",C35)</f>
        <v>LS - NKC - X-ray</v>
      </c>
      <c r="F35" t="s">
        <v>278</v>
      </c>
      <c r="G35" t="s">
        <v>279</v>
      </c>
      <c r="I35">
        <v>8620002</v>
      </c>
      <c r="J35" s="13" t="s">
        <v>280</v>
      </c>
      <c r="K35" t="s">
        <v>169</v>
      </c>
      <c r="L35" s="13" t="s">
        <v>81</v>
      </c>
      <c r="M35" s="13"/>
      <c r="N35" s="13"/>
      <c r="O35" s="1"/>
      <c r="P35" s="1"/>
      <c r="Q35" s="1"/>
      <c r="R35" s="1"/>
      <c r="S35" s="1"/>
      <c r="T35" s="1"/>
    </row>
    <row r="36" spans="1:20" x14ac:dyDescent="0.2">
      <c r="A36" s="1" t="s">
        <v>159</v>
      </c>
      <c r="B36" s="1" t="s">
        <v>165</v>
      </c>
      <c r="C36" s="1" t="s">
        <v>169</v>
      </c>
      <c r="D36" s="1" t="s">
        <v>128</v>
      </c>
      <c r="E36" s="1" t="str">
        <f>_xlfn.CONCAT("LS - ",B36," - ",C36)</f>
        <v>LS - NKC - X-ray</v>
      </c>
      <c r="F36" s="19">
        <v>98863463053</v>
      </c>
      <c r="G36" s="1" t="s">
        <v>129</v>
      </c>
      <c r="H36" s="1" t="s">
        <v>182</v>
      </c>
      <c r="I36" s="19" t="s">
        <v>130</v>
      </c>
      <c r="J36" s="19">
        <v>42837</v>
      </c>
      <c r="K36" s="1"/>
      <c r="L36" s="1" t="s">
        <v>81</v>
      </c>
      <c r="M36" s="1"/>
      <c r="N36" s="1"/>
      <c r="O36" s="20">
        <v>45958</v>
      </c>
      <c r="P36" s="1"/>
      <c r="Q36" s="1"/>
      <c r="R36" s="1"/>
      <c r="S36" s="1"/>
      <c r="T36" s="1"/>
    </row>
    <row r="37" spans="1:20" x14ac:dyDescent="0.2">
      <c r="A37" s="1" t="s">
        <v>191</v>
      </c>
      <c r="B37" s="1" t="s">
        <v>192</v>
      </c>
      <c r="C37" s="1" t="s">
        <v>168</v>
      </c>
      <c r="D37" s="1" t="s">
        <v>183</v>
      </c>
      <c r="E37" s="1" t="str">
        <f>_xlfn.CONCAT("LS - ",B37," - ",C37)</f>
        <v>LS - TNC - Maternal and Child Health</v>
      </c>
      <c r="F37" s="19" t="s">
        <v>184</v>
      </c>
      <c r="G37" s="1" t="s">
        <v>185</v>
      </c>
      <c r="H37" s="1" t="s">
        <v>181</v>
      </c>
      <c r="I37" s="19" t="s">
        <v>186</v>
      </c>
      <c r="J37" s="19" t="s">
        <v>187</v>
      </c>
      <c r="K37" s="1" t="s">
        <v>91</v>
      </c>
      <c r="L37" s="1" t="s">
        <v>81</v>
      </c>
      <c r="M37" s="1"/>
      <c r="N37" s="19"/>
      <c r="O37" s="20">
        <v>45993</v>
      </c>
      <c r="P37" s="1"/>
      <c r="Q37" s="1"/>
      <c r="R37" s="1"/>
      <c r="S37" s="1"/>
      <c r="T37" s="1"/>
    </row>
    <row r="38" spans="1:20" x14ac:dyDescent="0.2">
      <c r="A38" s="1" t="s">
        <v>191</v>
      </c>
      <c r="B38" s="1" t="s">
        <v>192</v>
      </c>
      <c r="C38" s="1" t="s">
        <v>169</v>
      </c>
      <c r="D38" s="1" t="s">
        <v>188</v>
      </c>
      <c r="E38" s="1" t="str">
        <f>_xlfn.CONCAT("LS - ",B38," - ",C38)</f>
        <v>LS - TNC - X-ray</v>
      </c>
      <c r="F38" s="19" t="s">
        <v>218</v>
      </c>
      <c r="G38" s="1" t="s">
        <v>189</v>
      </c>
      <c r="H38" s="1" t="s">
        <v>194</v>
      </c>
      <c r="I38" s="19">
        <v>5510</v>
      </c>
      <c r="J38" s="19" t="s">
        <v>190</v>
      </c>
      <c r="K38" s="1"/>
      <c r="L38" s="1" t="s">
        <v>81</v>
      </c>
      <c r="M38" s="1"/>
      <c r="N38" s="19"/>
      <c r="O38" s="1"/>
      <c r="P38" s="1"/>
      <c r="Q38" s="1"/>
      <c r="R38" s="1"/>
      <c r="S38" s="1"/>
      <c r="T38" s="1"/>
    </row>
    <row r="39" spans="1:20" x14ac:dyDescent="0.2">
      <c r="A39" s="1" t="s">
        <v>191</v>
      </c>
      <c r="B39" s="1" t="s">
        <v>192</v>
      </c>
      <c r="C39" s="1" t="s">
        <v>169</v>
      </c>
      <c r="D39" s="1" t="s">
        <v>188</v>
      </c>
      <c r="E39" s="1" t="str">
        <f>_xlfn.CONCAT("LS - ",B39," - ",C39)</f>
        <v>LS - TNC - X-ray</v>
      </c>
      <c r="F39" s="19" t="s">
        <v>196</v>
      </c>
      <c r="G39" s="1" t="s">
        <v>197</v>
      </c>
      <c r="H39" s="1" t="s">
        <v>232</v>
      </c>
      <c r="I39" s="19" t="s">
        <v>198</v>
      </c>
      <c r="J39" s="1" t="s">
        <v>199</v>
      </c>
      <c r="K39" s="1"/>
      <c r="L39" s="1" t="s">
        <v>98</v>
      </c>
      <c r="M39" s="1" t="s">
        <v>81</v>
      </c>
      <c r="N39" s="19"/>
      <c r="O39" s="1"/>
      <c r="P39" s="20">
        <v>45993</v>
      </c>
      <c r="Q39" s="1"/>
      <c r="R39" s="1"/>
      <c r="S39" s="1"/>
      <c r="T39" s="1"/>
    </row>
    <row r="43" spans="1:20" x14ac:dyDescent="0.2">
      <c r="L43" s="11"/>
    </row>
    <row r="44" spans="1:20" x14ac:dyDescent="0.2">
      <c r="A44" t="s">
        <v>137</v>
      </c>
      <c r="B44" t="s">
        <v>138</v>
      </c>
      <c r="C44" t="s">
        <v>139</v>
      </c>
      <c r="D44" t="s">
        <v>140</v>
      </c>
      <c r="E44" t="s">
        <v>141</v>
      </c>
      <c r="F44" s="13" t="s">
        <v>142</v>
      </c>
      <c r="G44" s="13" t="s">
        <v>143</v>
      </c>
      <c r="H44" t="s">
        <v>144</v>
      </c>
      <c r="I44" s="13" t="s">
        <v>145</v>
      </c>
      <c r="J44" s="13" t="s">
        <v>146</v>
      </c>
      <c r="K44" s="13" t="s">
        <v>147</v>
      </c>
      <c r="L44" t="s">
        <v>148</v>
      </c>
      <c r="M44" t="s">
        <v>149</v>
      </c>
      <c r="N44" t="s">
        <v>150</v>
      </c>
      <c r="O44" t="s">
        <v>151</v>
      </c>
      <c r="P44" t="s">
        <v>152</v>
      </c>
      <c r="Q44" t="s">
        <v>153</v>
      </c>
    </row>
    <row r="45" spans="1:20" x14ac:dyDescent="0.2">
      <c r="A45" t="s">
        <v>78</v>
      </c>
      <c r="B45" t="s">
        <v>128</v>
      </c>
      <c r="C45" t="s">
        <v>278</v>
      </c>
      <c r="D45" t="s">
        <v>279</v>
      </c>
      <c r="F45">
        <v>8620002</v>
      </c>
      <c r="G45" s="13" t="s">
        <v>280</v>
      </c>
      <c r="H45" t="s">
        <v>169</v>
      </c>
      <c r="I45" s="13" t="s">
        <v>81</v>
      </c>
    </row>
    <row r="46" spans="1:20" x14ac:dyDescent="0.2">
      <c r="L46" s="11"/>
    </row>
    <row r="54" spans="12:12" x14ac:dyDescent="0.2">
      <c r="L54" s="11"/>
    </row>
  </sheetData>
  <autoFilter ref="A1:AA34" xr:uid="{25D9FFFE-87EF-B04A-B77C-62C1627A40EB}">
    <sortState xmlns:xlrd2="http://schemas.microsoft.com/office/spreadsheetml/2017/richdata2" ref="A2:V38">
      <sortCondition ref="E1:E38"/>
    </sortState>
  </autoFilter>
  <sortState xmlns:xlrd2="http://schemas.microsoft.com/office/spreadsheetml/2017/richdata2" ref="A2:T39">
    <sortCondition ref="A2:A39"/>
    <sortCondition ref="G2:G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README</vt:lpstr>
      <vt:lpstr>Landscape</vt:lpstr>
      <vt:lpstr>Modality</vt:lpstr>
      <vt:lpstr>EntityList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Albers</dc:creator>
  <cp:lastModifiedBy>Jim Albers</cp:lastModifiedBy>
  <dcterms:created xsi:type="dcterms:W3CDTF">2026-05-16T02:36:43Z</dcterms:created>
  <dcterms:modified xsi:type="dcterms:W3CDTF">2026-05-23T06:35:21Z</dcterms:modified>
</cp:coreProperties>
</file>